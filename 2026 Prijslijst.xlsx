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terflonbeheer.sharepoint.com/sites/BelgiumSales/Sales/Prijslijsten/"/>
    </mc:Choice>
  </mc:AlternateContent>
  <xr:revisionPtr revIDLastSave="2219" documentId="8_{4A7E3F86-E29F-49CE-8E80-5650ACFE633E}" xr6:coauthVersionLast="47" xr6:coauthVersionMax="47" xr10:uidLastSave="{3C78369E-CF52-40D7-9092-81FB46B53E7B}"/>
  <bookViews>
    <workbookView xWindow="14295" yWindow="0" windowWidth="29010" windowHeight="15585" tabRatio="764" firstSheet="3" activeTab="12" xr2:uid="{B625D9B5-70D9-48E2-8545-986253700AE5}"/>
  </bookViews>
  <sheets>
    <sheet name="Olien " sheetId="1" r:id="rId1"/>
    <sheet name="Food Olien" sheetId="25" r:id="rId2"/>
    <sheet name="Additieven" sheetId="26" r:id="rId3"/>
    <sheet name="Vetten" sheetId="27" r:id="rId4"/>
    <sheet name="Food Vetten" sheetId="28" r:id="rId5"/>
    <sheet name="Montagepasta's" sheetId="30" r:id="rId6"/>
    <sheet name="Reinigers" sheetId="29" r:id="rId7"/>
    <sheet name="Wax &amp; coatings" sheetId="31" r:id="rId8"/>
    <sheet name="Automatic lubrication" sheetId="33" r:id="rId9"/>
    <sheet name="Diversen" sheetId="34" r:id="rId10"/>
    <sheet name="ILM" sheetId="35" r:id="rId11"/>
    <sheet name="Interflon hardware" sheetId="41" r:id="rId12"/>
    <sheet name="Hulpmaterialen" sheetId="42" r:id="rId13"/>
    <sheet name="Hulpmaterialen onderdelen" sheetId="44" r:id="rId14"/>
  </sheets>
  <definedNames>
    <definedName name="_xlnm.Print_Area" localSheetId="2">Additieven!$A$1:$G$64</definedName>
    <definedName name="_xlnm.Print_Area" localSheetId="8">'Automatic lubrication'!$A$1:$G$442</definedName>
    <definedName name="_xlnm.Print_Area" localSheetId="9">Diversen!$A$1:$F$59</definedName>
    <definedName name="_xlnm.Print_Area" localSheetId="1">'Food Olien'!$A$1:$G$177</definedName>
    <definedName name="_xlnm.Print_Area" localSheetId="4">'Food Vetten'!$A$1:$G$230</definedName>
    <definedName name="_xlnm.Print_Area" localSheetId="12">Hulpmaterialen!$A$1:$H$83</definedName>
    <definedName name="_xlnm.Print_Area" localSheetId="13">'Hulpmaterialen onderdelen'!$A$1:$G$65</definedName>
    <definedName name="_xlnm.Print_Area" localSheetId="10">ILM!$A$1:$F$108</definedName>
    <definedName name="_xlnm.Print_Area" localSheetId="11">'Interflon hardware'!$A$1:$F$102</definedName>
    <definedName name="_xlnm.Print_Area" localSheetId="5">'Montagepasta''s'!$A$1:$G$63</definedName>
    <definedName name="_xlnm.Print_Area" localSheetId="0">'Olien '!$A$1:$G$121</definedName>
    <definedName name="_xlnm.Print_Area" localSheetId="6">Reinigers!$A$1:$G$114</definedName>
    <definedName name="_xlnm.Print_Area" localSheetId="3">Vetten!$A$1:$G$190</definedName>
    <definedName name="_xlnm.Print_Area" localSheetId="7">'Wax &amp; coatings'!$A$1:$G$46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28" l="1"/>
  <c r="G70" i="28"/>
  <c r="G93" i="1"/>
  <c r="G92" i="1"/>
  <c r="G61" i="1"/>
  <c r="G91" i="1"/>
  <c r="G90" i="1"/>
  <c r="G121" i="28"/>
  <c r="G146" i="25"/>
  <c r="G153" i="25"/>
  <c r="G152" i="25"/>
  <c r="G151" i="25"/>
  <c r="G147" i="25"/>
  <c r="G148" i="25"/>
  <c r="G145" i="25"/>
  <c r="G142" i="25"/>
  <c r="G143" i="25"/>
  <c r="G144" i="25"/>
  <c r="G141" i="25"/>
  <c r="G150" i="25"/>
  <c r="G149" i="25"/>
  <c r="G31" i="27"/>
  <c r="G27" i="27"/>
  <c r="G42" i="27"/>
  <c r="G42" i="26"/>
  <c r="G31" i="26"/>
  <c r="G187" i="27"/>
  <c r="G31" i="25"/>
  <c r="G32" i="25"/>
  <c r="G30" i="25"/>
  <c r="G73" i="29"/>
  <c r="G72" i="29"/>
  <c r="G70" i="29"/>
  <c r="G92" i="29"/>
  <c r="G91" i="29"/>
  <c r="G140" i="28"/>
  <c r="G141" i="28"/>
  <c r="G139" i="28"/>
  <c r="G171" i="28"/>
  <c r="G170" i="28"/>
  <c r="G169" i="28"/>
  <c r="G168" i="28"/>
  <c r="G167" i="28"/>
  <c r="G166" i="28"/>
  <c r="G165" i="28"/>
  <c r="G164" i="28"/>
  <c r="G66" i="29"/>
  <c r="G90" i="28"/>
  <c r="G98" i="28"/>
  <c r="G99" i="28"/>
  <c r="G106" i="28"/>
  <c r="G107" i="28"/>
  <c r="G102" i="28"/>
  <c r="G103" i="28"/>
  <c r="G66" i="1"/>
  <c r="G65" i="1"/>
  <c r="G64" i="1"/>
  <c r="G63" i="1"/>
  <c r="G62" i="1"/>
  <c r="G57" i="1"/>
  <c r="G56" i="1"/>
  <c r="G55" i="1"/>
  <c r="G47" i="1"/>
  <c r="G46" i="1"/>
  <c r="G45" i="1"/>
  <c r="G44" i="1"/>
  <c r="G52" i="1"/>
  <c r="G53" i="1"/>
  <c r="G54" i="1"/>
  <c r="G51" i="1"/>
  <c r="G41" i="1"/>
  <c r="G42" i="1"/>
  <c r="G43" i="1"/>
  <c r="G40" i="1"/>
  <c r="G190" i="27"/>
  <c r="G189" i="27"/>
  <c r="G188" i="27"/>
  <c r="G186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24" i="31"/>
  <c r="G36" i="1"/>
  <c r="G25" i="25"/>
  <c r="G73" i="1"/>
  <c r="G105" i="28"/>
  <c r="G104" i="28"/>
  <c r="G101" i="28"/>
  <c r="G100" i="28"/>
  <c r="G97" i="28"/>
  <c r="G96" i="28"/>
  <c r="G202" i="28"/>
  <c r="G201" i="28"/>
  <c r="G200" i="28"/>
  <c r="G199" i="28"/>
  <c r="G198" i="28"/>
  <c r="G197" i="28"/>
  <c r="G196" i="28"/>
  <c r="G195" i="28"/>
  <c r="G191" i="28"/>
  <c r="G190" i="28"/>
  <c r="G189" i="28"/>
  <c r="G188" i="28"/>
  <c r="G187" i="28"/>
  <c r="G186" i="28"/>
  <c r="G185" i="28"/>
  <c r="G184" i="28"/>
  <c r="G180" i="28"/>
  <c r="G179" i="28"/>
  <c r="G178" i="28"/>
  <c r="G177" i="28"/>
  <c r="G176" i="28"/>
  <c r="G175" i="28"/>
  <c r="G30" i="30"/>
  <c r="G29" i="30"/>
  <c r="G28" i="30"/>
  <c r="G47" i="28"/>
  <c r="G48" i="28"/>
  <c r="G49" i="28"/>
  <c r="G50" i="28"/>
  <c r="G51" i="28"/>
  <c r="G52" i="28"/>
  <c r="G53" i="28"/>
  <c r="G54" i="28"/>
  <c r="G55" i="28"/>
  <c r="G56" i="28"/>
  <c r="G57" i="28"/>
  <c r="G102" i="1"/>
  <c r="G103" i="1"/>
  <c r="G104" i="1"/>
  <c r="G105" i="1"/>
  <c r="G106" i="1"/>
  <c r="G107" i="1"/>
  <c r="G108" i="1"/>
  <c r="G142" i="28"/>
  <c r="G124" i="28"/>
  <c r="G19" i="27"/>
  <c r="G25" i="28"/>
  <c r="G45" i="27"/>
  <c r="G138" i="27"/>
  <c r="G16" i="30"/>
  <c r="G79" i="27"/>
  <c r="G15" i="29"/>
  <c r="G101" i="27"/>
  <c r="G70" i="27"/>
  <c r="G69" i="27"/>
  <c r="G68" i="27"/>
  <c r="G67" i="27"/>
  <c r="G18" i="30"/>
  <c r="G73" i="28"/>
  <c r="G40" i="28"/>
  <c r="G34" i="27"/>
  <c r="G60" i="27"/>
  <c r="G119" i="27"/>
  <c r="G157" i="27"/>
  <c r="G62" i="29"/>
  <c r="G89" i="29"/>
  <c r="G10" i="1"/>
  <c r="G9" i="1"/>
  <c r="G8" i="1"/>
  <c r="G7" i="1"/>
  <c r="G85" i="29"/>
  <c r="G83" i="29"/>
  <c r="G79" i="29"/>
  <c r="G78" i="29"/>
  <c r="G77" i="29"/>
  <c r="G76" i="29"/>
  <c r="G75" i="29"/>
  <c r="G74" i="29"/>
  <c r="G61" i="29"/>
  <c r="G60" i="29"/>
  <c r="G59" i="29"/>
  <c r="G58" i="29"/>
  <c r="G54" i="29"/>
  <c r="G53" i="29"/>
  <c r="G52" i="29"/>
  <c r="G51" i="29"/>
  <c r="G47" i="29"/>
  <c r="G46" i="29"/>
  <c r="G45" i="29"/>
  <c r="G44" i="29"/>
  <c r="G40" i="29"/>
  <c r="G39" i="29"/>
  <c r="G38" i="29"/>
  <c r="G37" i="29"/>
  <c r="G33" i="29"/>
  <c r="G32" i="29"/>
  <c r="G31" i="29"/>
  <c r="G30" i="29"/>
  <c r="G26" i="29"/>
  <c r="G25" i="29"/>
  <c r="G24" i="29"/>
  <c r="G23" i="29"/>
  <c r="G22" i="29"/>
  <c r="G21" i="29"/>
  <c r="G17" i="29"/>
  <c r="G16" i="29"/>
  <c r="G14" i="29"/>
  <c r="G13" i="29"/>
  <c r="G11" i="29"/>
  <c r="G10" i="29"/>
  <c r="G9" i="29"/>
  <c r="G8" i="29"/>
  <c r="G7" i="29"/>
  <c r="G127" i="28"/>
  <c r="G150" i="28"/>
  <c r="G154" i="28"/>
  <c r="G160" i="28"/>
  <c r="G159" i="28"/>
  <c r="G158" i="28"/>
  <c r="G157" i="28"/>
  <c r="G156" i="28"/>
  <c r="G155" i="28"/>
  <c r="G153" i="28"/>
  <c r="G152" i="28"/>
  <c r="G151" i="28"/>
  <c r="G149" i="28"/>
  <c r="G46" i="28"/>
  <c r="G30" i="26"/>
  <c r="G7" i="31"/>
  <c r="G8" i="31"/>
  <c r="G9" i="31"/>
  <c r="G10" i="31"/>
  <c r="G63" i="27"/>
  <c r="G122" i="27"/>
  <c r="G121" i="27"/>
  <c r="G120" i="27"/>
  <c r="G118" i="27"/>
  <c r="G117" i="27"/>
  <c r="G116" i="27"/>
  <c r="G115" i="27"/>
  <c r="G114" i="27"/>
  <c r="G113" i="27"/>
  <c r="G112" i="27"/>
  <c r="G111" i="27"/>
  <c r="G110" i="27"/>
  <c r="G109" i="27"/>
  <c r="G108" i="27"/>
  <c r="G27" i="30"/>
  <c r="G26" i="30"/>
  <c r="G25" i="30"/>
  <c r="G9" i="30"/>
  <c r="G10" i="30"/>
  <c r="G101" i="1"/>
  <c r="G30" i="27"/>
  <c r="G19" i="28"/>
  <c r="G21" i="28"/>
  <c r="G22" i="28"/>
  <c r="G23" i="31"/>
  <c r="G26" i="31"/>
  <c r="G25" i="31"/>
  <c r="G22" i="31"/>
  <c r="G21" i="31"/>
  <c r="G16" i="31"/>
  <c r="G17" i="31"/>
  <c r="G15" i="31"/>
  <c r="G14" i="31"/>
  <c r="G24" i="30"/>
  <c r="G20" i="30"/>
  <c r="G19" i="30"/>
  <c r="G17" i="30"/>
  <c r="G15" i="30"/>
  <c r="G14" i="30"/>
  <c r="G13" i="30"/>
  <c r="G12" i="30"/>
  <c r="G11" i="30"/>
  <c r="G8" i="30"/>
  <c r="G7" i="30"/>
  <c r="G145" i="28"/>
  <c r="G144" i="28"/>
  <c r="G143" i="28"/>
  <c r="G138" i="28"/>
  <c r="G137" i="28"/>
  <c r="G136" i="28"/>
  <c r="G135" i="28"/>
  <c r="G134" i="28"/>
  <c r="G133" i="28"/>
  <c r="G132" i="28"/>
  <c r="G131" i="28"/>
  <c r="G126" i="28"/>
  <c r="G125" i="28"/>
  <c r="G123" i="28"/>
  <c r="G122" i="28"/>
  <c r="G120" i="28"/>
  <c r="G119" i="28"/>
  <c r="G118" i="28"/>
  <c r="G117" i="28"/>
  <c r="G116" i="28"/>
  <c r="G115" i="28"/>
  <c r="G114" i="28"/>
  <c r="G113" i="28"/>
  <c r="G112" i="28"/>
  <c r="G82" i="28"/>
  <c r="G81" i="28"/>
  <c r="G80" i="28"/>
  <c r="G79" i="28"/>
  <c r="G86" i="28"/>
  <c r="G85" i="28"/>
  <c r="G84" i="28"/>
  <c r="G83" i="28"/>
  <c r="G92" i="28"/>
  <c r="G91" i="28"/>
  <c r="G89" i="28"/>
  <c r="G88" i="28"/>
  <c r="G87" i="28"/>
  <c r="G67" i="28"/>
  <c r="G68" i="28"/>
  <c r="G66" i="28"/>
  <c r="G65" i="28"/>
  <c r="G75" i="28"/>
  <c r="G74" i="28"/>
  <c r="G72" i="28"/>
  <c r="G71" i="28"/>
  <c r="G69" i="28"/>
  <c r="G64" i="28"/>
  <c r="G63" i="28"/>
  <c r="G62" i="28"/>
  <c r="G61" i="28"/>
  <c r="G42" i="28"/>
  <c r="G41" i="28"/>
  <c r="G39" i="28"/>
  <c r="G38" i="28"/>
  <c r="G37" i="28"/>
  <c r="G36" i="28"/>
  <c r="G35" i="28"/>
  <c r="G34" i="28"/>
  <c r="G33" i="28"/>
  <c r="G32" i="28"/>
  <c r="G31" i="28"/>
  <c r="G100" i="27"/>
  <c r="G99" i="27"/>
  <c r="G98" i="27"/>
  <c r="G27" i="28"/>
  <c r="G26" i="28"/>
  <c r="G24" i="28"/>
  <c r="G23" i="28"/>
  <c r="G20" i="28"/>
  <c r="G18" i="28"/>
  <c r="G17" i="28"/>
  <c r="G16" i="28"/>
  <c r="G15" i="28"/>
  <c r="G14" i="28"/>
  <c r="G10" i="28"/>
  <c r="G9" i="28"/>
  <c r="G8" i="28"/>
  <c r="G7" i="28"/>
  <c r="G160" i="27"/>
  <c r="G159" i="27"/>
  <c r="G158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1" i="27"/>
  <c r="G140" i="27"/>
  <c r="G139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04" i="27"/>
  <c r="G103" i="27"/>
  <c r="G102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2" i="27"/>
  <c r="G81" i="27"/>
  <c r="G80" i="27"/>
  <c r="G78" i="27"/>
  <c r="G77" i="27"/>
  <c r="G76" i="27"/>
  <c r="G75" i="27"/>
  <c r="G74" i="27"/>
  <c r="G73" i="27"/>
  <c r="G72" i="27"/>
  <c r="G71" i="27"/>
  <c r="G53" i="27"/>
  <c r="G57" i="27"/>
  <c r="G62" i="27"/>
  <c r="G61" i="27"/>
  <c r="G59" i="27"/>
  <c r="G58" i="27"/>
  <c r="G56" i="27"/>
  <c r="G55" i="27"/>
  <c r="G54" i="27"/>
  <c r="G52" i="27"/>
  <c r="G48" i="27"/>
  <c r="G47" i="27"/>
  <c r="G46" i="27"/>
  <c r="G44" i="27"/>
  <c r="G43" i="27"/>
  <c r="G41" i="27"/>
  <c r="G35" i="27"/>
  <c r="G37" i="27"/>
  <c r="G36" i="27"/>
  <c r="G33" i="27"/>
  <c r="G32" i="27"/>
  <c r="G29" i="27"/>
  <c r="G28" i="27"/>
  <c r="G26" i="27"/>
  <c r="G14" i="27"/>
  <c r="G13" i="27"/>
  <c r="G12" i="27"/>
  <c r="G11" i="27"/>
  <c r="G22" i="27"/>
  <c r="G21" i="27"/>
  <c r="G20" i="27"/>
  <c r="G18" i="27"/>
  <c r="G17" i="27"/>
  <c r="G16" i="27"/>
  <c r="G15" i="27"/>
  <c r="G10" i="27"/>
  <c r="G9" i="27"/>
  <c r="G8" i="27"/>
  <c r="G7" i="27"/>
  <c r="G48" i="26"/>
  <c r="G47" i="26"/>
  <c r="G46" i="26"/>
  <c r="G45" i="26"/>
  <c r="G44" i="26"/>
  <c r="G43" i="26"/>
  <c r="G41" i="26"/>
  <c r="G37" i="26"/>
  <c r="G36" i="26"/>
  <c r="G35" i="26"/>
  <c r="G34" i="26"/>
  <c r="G26" i="26"/>
  <c r="G33" i="26"/>
  <c r="G32" i="26"/>
  <c r="G25" i="26"/>
  <c r="G24" i="26"/>
  <c r="G23" i="26"/>
  <c r="G19" i="26"/>
  <c r="G18" i="26"/>
  <c r="G17" i="26"/>
  <c r="G16" i="26"/>
  <c r="G12" i="26"/>
  <c r="G11" i="26"/>
  <c r="G10" i="26"/>
  <c r="G9" i="26"/>
  <c r="G8" i="26"/>
  <c r="G7" i="26"/>
  <c r="G137" i="25"/>
  <c r="G136" i="25"/>
  <c r="G135" i="25"/>
  <c r="G134" i="25"/>
  <c r="G133" i="25"/>
  <c r="G132" i="25"/>
  <c r="G128" i="25"/>
  <c r="G127" i="25"/>
  <c r="G126" i="25"/>
  <c r="G125" i="25"/>
  <c r="G124" i="25"/>
  <c r="G120" i="25"/>
  <c r="G119" i="25"/>
  <c r="G118" i="25"/>
  <c r="G117" i="25"/>
  <c r="G116" i="25"/>
  <c r="G115" i="25"/>
  <c r="G111" i="25"/>
  <c r="G110" i="25"/>
  <c r="G109" i="25"/>
  <c r="G108" i="25"/>
  <c r="G107" i="25"/>
  <c r="G106" i="25"/>
  <c r="G102" i="25"/>
  <c r="G101" i="25"/>
  <c r="G100" i="25"/>
  <c r="G99" i="25"/>
  <c r="G98" i="25"/>
  <c r="G97" i="25"/>
  <c r="G93" i="25"/>
  <c r="G92" i="25"/>
  <c r="G91" i="25"/>
  <c r="G90" i="25"/>
  <c r="G89" i="25"/>
  <c r="G88" i="25"/>
  <c r="G84" i="25"/>
  <c r="G83" i="25"/>
  <c r="G82" i="25"/>
  <c r="G81" i="25"/>
  <c r="G80" i="25"/>
  <c r="G79" i="25"/>
  <c r="G75" i="25"/>
  <c r="G74" i="25"/>
  <c r="G73" i="25"/>
  <c r="G72" i="25"/>
  <c r="G71" i="25"/>
  <c r="G70" i="25"/>
  <c r="G66" i="25"/>
  <c r="G65" i="25"/>
  <c r="G64" i="25"/>
  <c r="G57" i="25"/>
  <c r="G56" i="25"/>
  <c r="G55" i="25"/>
  <c r="G54" i="25"/>
  <c r="G50" i="25"/>
  <c r="G49" i="25"/>
  <c r="G48" i="25"/>
  <c r="G47" i="25"/>
  <c r="G36" i="25"/>
  <c r="G35" i="25"/>
  <c r="G34" i="25"/>
  <c r="G33" i="25"/>
  <c r="G26" i="25"/>
  <c r="G24" i="25"/>
  <c r="G23" i="25"/>
  <c r="G22" i="25"/>
  <c r="G63" i="25"/>
  <c r="G62" i="25"/>
  <c r="G61" i="25"/>
  <c r="G43" i="25"/>
  <c r="G42" i="25"/>
  <c r="G41" i="25"/>
  <c r="G40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97" i="1"/>
  <c r="G96" i="1"/>
  <c r="G95" i="1"/>
  <c r="G94" i="1"/>
  <c r="G89" i="1"/>
  <c r="G88" i="1"/>
  <c r="G87" i="1"/>
  <c r="G86" i="1"/>
  <c r="G82" i="1"/>
  <c r="G81" i="1"/>
  <c r="G80" i="1"/>
  <c r="G79" i="1"/>
  <c r="G78" i="1"/>
  <c r="G74" i="1"/>
  <c r="G72" i="1"/>
  <c r="G71" i="1"/>
  <c r="G70" i="1"/>
  <c r="G35" i="1"/>
  <c r="G34" i="1"/>
  <c r="G33" i="1"/>
  <c r="G26" i="1"/>
  <c r="G27" i="1"/>
  <c r="G28" i="1"/>
  <c r="G29" i="1"/>
  <c r="G30" i="1"/>
  <c r="G31" i="1"/>
  <c r="G32" i="1"/>
  <c r="G25" i="1"/>
  <c r="G15" i="1"/>
  <c r="G16" i="1"/>
  <c r="G17" i="1"/>
  <c r="G18" i="1"/>
  <c r="G19" i="1"/>
  <c r="G20" i="1"/>
  <c r="G21" i="1"/>
  <c r="G14" i="1"/>
</calcChain>
</file>

<file path=xl/sharedStrings.xml><?xml version="1.0" encoding="utf-8"?>
<sst xmlns="http://schemas.openxmlformats.org/spreadsheetml/2006/main" count="2542" uniqueCount="601">
  <si>
    <t>Fin super dry lube</t>
  </si>
  <si>
    <t>Artikelnr</t>
  </si>
  <si>
    <t>Inhoud</t>
  </si>
  <si>
    <t>Verpakking</t>
  </si>
  <si>
    <t>Aantal</t>
  </si>
  <si>
    <t>Eenheidsprijs €</t>
  </si>
  <si>
    <t>Totaalprijs €</t>
  </si>
  <si>
    <t>50 ml</t>
  </si>
  <si>
    <t>fles</t>
  </si>
  <si>
    <t xml:space="preserve">Fin super </t>
  </si>
  <si>
    <t>100 ml</t>
  </si>
  <si>
    <t>spuitbus</t>
  </si>
  <si>
    <t>300 ml</t>
  </si>
  <si>
    <t xml:space="preserve">Lube TF </t>
  </si>
  <si>
    <t>500 ml</t>
  </si>
  <si>
    <t>1 liter</t>
  </si>
  <si>
    <t>trickspray</t>
  </si>
  <si>
    <t>5 liter</t>
  </si>
  <si>
    <t>jerrycan</t>
  </si>
  <si>
    <t>10 liter</t>
  </si>
  <si>
    <t>20 liter</t>
  </si>
  <si>
    <t>Lube HT</t>
  </si>
  <si>
    <t>Lube HT/SF</t>
  </si>
  <si>
    <t>*</t>
  </si>
  <si>
    <t>Lube PN32</t>
  </si>
  <si>
    <t>200 liter</t>
  </si>
  <si>
    <t>vat</t>
  </si>
  <si>
    <t>Lube PN46</t>
  </si>
  <si>
    <t>Lube PN68</t>
  </si>
  <si>
    <t>Lube EP+</t>
  </si>
  <si>
    <t>Lube EPR</t>
  </si>
  <si>
    <t>Food lube</t>
  </si>
  <si>
    <t>Food lube PN32</t>
  </si>
  <si>
    <t>Food lube G</t>
  </si>
  <si>
    <t>Food lube LT</t>
  </si>
  <si>
    <t>Food lube HT</t>
  </si>
  <si>
    <t>Food lube G100</t>
  </si>
  <si>
    <t>30 liter</t>
  </si>
  <si>
    <t>60 liter</t>
  </si>
  <si>
    <t>Food lube G150</t>
  </si>
  <si>
    <t>Food lube G220</t>
  </si>
  <si>
    <t>Food lube G320</t>
  </si>
  <si>
    <t>Food lube G460</t>
  </si>
  <si>
    <t>Food lube G680</t>
  </si>
  <si>
    <t>Food lube H32</t>
  </si>
  <si>
    <t>Food lube H46</t>
  </si>
  <si>
    <t>Food lube H68</t>
  </si>
  <si>
    <t>Fin 25 additive</t>
  </si>
  <si>
    <t>Fin gear additive</t>
  </si>
  <si>
    <t>tube</t>
  </si>
  <si>
    <t>Finnoly additive NT500</t>
  </si>
  <si>
    <t>Finnoly additive N251-H</t>
  </si>
  <si>
    <t>Finnoly additive T251</t>
  </si>
  <si>
    <t>Grease MP2/3</t>
  </si>
  <si>
    <t>400 ml</t>
  </si>
  <si>
    <t>cartouche</t>
  </si>
  <si>
    <t>Lube-Shuttle cart.</t>
  </si>
  <si>
    <t>pot</t>
  </si>
  <si>
    <t>13 liter</t>
  </si>
  <si>
    <t>emmer</t>
  </si>
  <si>
    <t>Grease MP1</t>
  </si>
  <si>
    <t>Grease MP00</t>
  </si>
  <si>
    <t>Bio grease MP2</t>
  </si>
  <si>
    <t>Grease OG</t>
  </si>
  <si>
    <t>Grease HTG</t>
  </si>
  <si>
    <t>Grease HS2</t>
  </si>
  <si>
    <t>Grease LS2</t>
  </si>
  <si>
    <t>Grease LS1/2</t>
  </si>
  <si>
    <t>Grease HD2</t>
  </si>
  <si>
    <t>BufferGuard</t>
  </si>
  <si>
    <t>Fin grease</t>
  </si>
  <si>
    <t>Food grease 1</t>
  </si>
  <si>
    <t>Food grease 2</t>
  </si>
  <si>
    <t>Food grease 3H</t>
  </si>
  <si>
    <t>Food grease MP2</t>
  </si>
  <si>
    <t>Food grease HD2</t>
  </si>
  <si>
    <t>Fluor grease 2</t>
  </si>
  <si>
    <t>150 gr</t>
  </si>
  <si>
    <t>800 gr</t>
  </si>
  <si>
    <t>1 kg</t>
  </si>
  <si>
    <t>Food grease LT2</t>
  </si>
  <si>
    <t>Food grease EP</t>
  </si>
  <si>
    <t>Food grease S1/2</t>
  </si>
  <si>
    <t>Food grease HS1</t>
  </si>
  <si>
    <t>Food grease 000</t>
  </si>
  <si>
    <t>Food grease HD00</t>
  </si>
  <si>
    <t>Food grease HD000</t>
  </si>
  <si>
    <t>Paste HT1200</t>
  </si>
  <si>
    <t>150 ml</t>
  </si>
  <si>
    <t>Assembly grease</t>
  </si>
  <si>
    <t>Degreaser EM30+</t>
  </si>
  <si>
    <r>
      <rPr>
        <b/>
        <u/>
        <sz val="10"/>
        <rFont val="Verdana"/>
        <family val="2"/>
      </rPr>
      <t>Let op</t>
    </r>
    <r>
      <rPr>
        <sz val="10"/>
        <rFont val="Verdana"/>
        <family val="2"/>
      </rPr>
      <t>: vatpomp / kraan 20 liter bij EM30+ van 10 liter</t>
    </r>
  </si>
  <si>
    <t>25 liter</t>
  </si>
  <si>
    <t>vat (metal)</t>
  </si>
  <si>
    <t>vat inclusief ophaling</t>
  </si>
  <si>
    <t>Eco EM100+</t>
  </si>
  <si>
    <t>Foam clean</t>
  </si>
  <si>
    <t>Metal clean F</t>
  </si>
  <si>
    <t>Dry clean stainless steel</t>
  </si>
  <si>
    <t>Power wipes</t>
  </si>
  <si>
    <t>90 sheets</t>
  </si>
  <si>
    <t>Fin clean all²</t>
  </si>
  <si>
    <t>vat (plastic)</t>
  </si>
  <si>
    <t>1000 liter</t>
  </si>
  <si>
    <t>container</t>
  </si>
  <si>
    <t>Fin clean all</t>
  </si>
  <si>
    <t>Eco degreaser</t>
  </si>
  <si>
    <t>750 ml</t>
  </si>
  <si>
    <r>
      <rPr>
        <b/>
        <u/>
        <sz val="10"/>
        <rFont val="Verdana"/>
        <family val="2"/>
      </rPr>
      <t>Let op</t>
    </r>
    <r>
      <rPr>
        <sz val="10"/>
        <rFont val="Verdana"/>
        <family val="2"/>
      </rPr>
      <t>: te verkopen in veelvoud van twee</t>
    </r>
  </si>
  <si>
    <t>Clean special</t>
  </si>
  <si>
    <r>
      <rPr>
        <b/>
        <u/>
        <sz val="10"/>
        <rFont val="Verdana"/>
        <family val="2"/>
      </rPr>
      <t>Let op</t>
    </r>
    <r>
      <rPr>
        <sz val="10"/>
        <rFont val="Verdana"/>
        <family val="2"/>
      </rPr>
      <t>: vatpomp / kraan 20 liter bij Clean special van 10 liter</t>
    </r>
  </si>
  <si>
    <r>
      <rPr>
        <b/>
        <u/>
        <sz val="10"/>
        <rFont val="Verdana"/>
        <family val="2"/>
      </rPr>
      <t>Let op</t>
    </r>
    <r>
      <rPr>
        <sz val="10"/>
        <rFont val="Verdana"/>
        <family val="2"/>
      </rPr>
      <t>: vatpomp / kraan 20 liter bij Clean OTR van 10 liter</t>
    </r>
  </si>
  <si>
    <t>Film WB</t>
  </si>
  <si>
    <t>Slide wax dry</t>
  </si>
  <si>
    <t>Bio weld 15+</t>
  </si>
  <si>
    <t>Interflon Single Point Lubricator - onderdelen</t>
  </si>
  <si>
    <t>Omschrijving</t>
  </si>
  <si>
    <t>60 ml</t>
  </si>
  <si>
    <t>Single Point Lubricator leeg + batterij</t>
  </si>
  <si>
    <t>125 ml</t>
  </si>
  <si>
    <t>Batterij Single Point Lubricator 60 ml</t>
  </si>
  <si>
    <t>Batterij Single Point Lubricator 125 ml</t>
  </si>
  <si>
    <t>Single Point Lubricator Terugslagventiel</t>
  </si>
  <si>
    <t>Single Point Lubricator Filling Set</t>
  </si>
  <si>
    <t>Single Point Lubricator Impulse Connect</t>
  </si>
  <si>
    <t>Single Point Lubricator Impulse - Battery pack</t>
  </si>
  <si>
    <t>Single Point Lubricator Stainless Steel Bracket</t>
  </si>
  <si>
    <t>Interflon Single Point Lubricator - 60 ml</t>
  </si>
  <si>
    <t>Single Point Lubricator + Grease MP2/3</t>
  </si>
  <si>
    <t>Single Point Lubricator + Grease LS1/2</t>
  </si>
  <si>
    <t>Single Point Lubricator + Grease HD2</t>
  </si>
  <si>
    <t>Single Point Lubricator + Food grease 1</t>
  </si>
  <si>
    <t>Single Point Lubricator + Food grease EP</t>
  </si>
  <si>
    <t>Single Point Lubricator + Food grease LT2</t>
  </si>
  <si>
    <t>Single Point Lubricator + Food lube G150</t>
  </si>
  <si>
    <t>Interflon Single Point Lubricator - 125 ml</t>
  </si>
  <si>
    <t>Single Point Lubricator + Lube PN32</t>
  </si>
  <si>
    <t>Single Point Lubricator + Lube PN68</t>
  </si>
  <si>
    <t>Interflon Single Point Lubricator - 250 ml</t>
  </si>
  <si>
    <t>250 ml</t>
  </si>
  <si>
    <t>Interflon Lubricator - onderdelen</t>
  </si>
  <si>
    <t>Installatiekit 2000RC-1</t>
  </si>
  <si>
    <t>Nylon tube 8 mm - per m</t>
  </si>
  <si>
    <t>Interflon Lubricator - 60 ml</t>
  </si>
  <si>
    <t>IF Lubricator + Food grease LT2</t>
  </si>
  <si>
    <t>IF Lubricator + Food grease 1</t>
  </si>
  <si>
    <t>IF Lubricator + Grease LS1/2</t>
  </si>
  <si>
    <t>IF Lubricator + Grease MP2/3</t>
  </si>
  <si>
    <t>IF Lubricator + Grease MP1</t>
  </si>
  <si>
    <t>Interflon Lubricator - 120 ml</t>
  </si>
  <si>
    <t>120 ml</t>
  </si>
  <si>
    <t>IF Lubricator + Grease HD2</t>
  </si>
  <si>
    <t>IF Lubricator + Bio Grease MP2</t>
  </si>
  <si>
    <t>IF Lubricator + Grease LS2</t>
  </si>
  <si>
    <t>Interflon Lubricator - 240 ml</t>
  </si>
  <si>
    <t>240 ml</t>
  </si>
  <si>
    <t>Interflon Lubricator oil - 120 ml</t>
  </si>
  <si>
    <t>IF Lubricator oil + Lube PN32</t>
  </si>
  <si>
    <t>IF Lubricator oil + Lube PN68</t>
  </si>
  <si>
    <t>IF Lubricator oil + Lube HT/SF</t>
  </si>
  <si>
    <t>IF Lubricator oil + Food lube G150</t>
  </si>
  <si>
    <t>Pulsarlube oil - onderdelen</t>
  </si>
  <si>
    <t>Battery pack (alk) + absorbing pad</t>
  </si>
  <si>
    <t xml:space="preserve">Hydraulische terugslagklep      </t>
  </si>
  <si>
    <t>Borstelkit 2" plat nylon (1/8" NPT)</t>
  </si>
  <si>
    <t>Borstelkit 1" rond nylon (1/8" NPT)</t>
  </si>
  <si>
    <t>Installatiekit 1 smeerpunt</t>
  </si>
  <si>
    <t>Installatiekit 2 smeerpunten</t>
  </si>
  <si>
    <t>Installatiekit 3 smeerpunten</t>
  </si>
  <si>
    <t>Installatiekit 4 smeerpunten</t>
  </si>
  <si>
    <t>Nylon tube 4 mm - per m</t>
  </si>
  <si>
    <t>Pulsarlube OL500 - oil dispenser</t>
  </si>
  <si>
    <t>Pulsarlube MSP - oil dispenser</t>
  </si>
  <si>
    <t>Pulsarlube MSP AC</t>
  </si>
  <si>
    <t>Pulsarlube MSP DC</t>
  </si>
  <si>
    <t>Pulsarlube - onderdelen</t>
  </si>
  <si>
    <t>Battery pack (alkaline)</t>
  </si>
  <si>
    <t>Battery pack (lithium)</t>
  </si>
  <si>
    <t>Installatiekit 1250RC-1</t>
  </si>
  <si>
    <t>Nylon tube 6 mm - per m</t>
  </si>
  <si>
    <t>Pulsarlube - verdeelblok</t>
  </si>
  <si>
    <t>Push-in 1/8"</t>
  </si>
  <si>
    <t>HU Type Divider Block, grease type, 2 ports</t>
  </si>
  <si>
    <t>HU Type Divider Block, grease type, 3 ports</t>
  </si>
  <si>
    <t>HU Type Divider Block, grease type, 4 ports</t>
  </si>
  <si>
    <t>HU Type Divider Block, grease type, 5 ports</t>
  </si>
  <si>
    <t>HU Type Divider Block, grease type, 6 ports</t>
  </si>
  <si>
    <t>HU Type Divider Block, grease type, 7 ports</t>
  </si>
  <si>
    <t>HU Type Divider Block, grease type, 8 ports</t>
  </si>
  <si>
    <t>Pulsarlube M2</t>
  </si>
  <si>
    <t>Pulsarlube MSP</t>
  </si>
  <si>
    <t>Pulsarlube PLC</t>
  </si>
  <si>
    <t>Pulsarlube PLC - monthly</t>
  </si>
  <si>
    <t>Pulsarlube PLC - interval</t>
  </si>
  <si>
    <t>480 ml</t>
  </si>
  <si>
    <t>Pulsarlube EXPL</t>
  </si>
  <si>
    <t>Pulsarlube BT</t>
  </si>
  <si>
    <t>Pulsarlube Mi</t>
  </si>
  <si>
    <t>Servicepacks - 60 ml</t>
  </si>
  <si>
    <t>Servicepack + Grease MP2/3</t>
  </si>
  <si>
    <t>Servicepack + Food grease LT2</t>
  </si>
  <si>
    <t>Servicepacks - 125 ml</t>
  </si>
  <si>
    <t>Servicepack + Grease MP00</t>
  </si>
  <si>
    <t>Servicepack + Grease LS2</t>
  </si>
  <si>
    <t>Servicepack + Grease LS1/2</t>
  </si>
  <si>
    <t>Servicepack + Grease HTG</t>
  </si>
  <si>
    <t>Servicepack + Grease HD2</t>
  </si>
  <si>
    <t>Servicepack + Food grease 1</t>
  </si>
  <si>
    <t>Servicepack + Food grease EP</t>
  </si>
  <si>
    <t>Servicepacks - 250 ml</t>
  </si>
  <si>
    <t>Servicepack + Grease MP1</t>
  </si>
  <si>
    <t>Servicepacks - 500 ml</t>
  </si>
  <si>
    <t>Servicepack + Grease HS2</t>
  </si>
  <si>
    <t>Servicepack + Food grease HD2</t>
  </si>
  <si>
    <t>Servicepack + Food grease HS1</t>
  </si>
  <si>
    <t>Analyses</t>
  </si>
  <si>
    <t>Olie-analyse MOB 1</t>
  </si>
  <si>
    <t>Olie-analyse MOB 2</t>
  </si>
  <si>
    <t>Olie-analyse MOB 3</t>
  </si>
  <si>
    <t>Olie-analyse IND 1</t>
  </si>
  <si>
    <t>Olie-analyse IND 2</t>
  </si>
  <si>
    <t>Olie-analyse IND 2A</t>
  </si>
  <si>
    <t>Olie-analyse IND 2B</t>
  </si>
  <si>
    <t>Olie-analyse IND 3</t>
  </si>
  <si>
    <t>Vet-analyse</t>
  </si>
  <si>
    <t>Bottles en triggers</t>
  </si>
  <si>
    <t>Fles</t>
  </si>
  <si>
    <t xml:space="preserve">Fles + label </t>
  </si>
  <si>
    <t>Fles + label Lube TF</t>
  </si>
  <si>
    <t>Fles + label Fin clean all²</t>
  </si>
  <si>
    <t>Fles + label Bio weld 15+</t>
  </si>
  <si>
    <t>Fles + label Clean special</t>
  </si>
  <si>
    <t>Fles + label Degreaser EM30+</t>
  </si>
  <si>
    <t>Trigger</t>
  </si>
  <si>
    <t>Trigger Eco degreaser</t>
  </si>
  <si>
    <t>Trigger met messing spuitkop</t>
  </si>
  <si>
    <t xml:space="preserve">Display </t>
  </si>
  <si>
    <t>Displaybox Fin super dry lube 50ml</t>
  </si>
  <si>
    <t>Shield displaybox - bike</t>
  </si>
  <si>
    <t>Shield displaybox - fishing</t>
  </si>
  <si>
    <t>Shield displaybox - lock</t>
  </si>
  <si>
    <t>Allerlei</t>
  </si>
  <si>
    <t>Staalnameflesje</t>
  </si>
  <si>
    <t>Staalnamepotje</t>
  </si>
  <si>
    <t>Pomp jerrycan 5-10 liter</t>
  </si>
  <si>
    <t>Pomp jerrycan 20-25 liter</t>
  </si>
  <si>
    <t xml:space="preserve">Kraantje jerrycan 5-10 liter </t>
  </si>
  <si>
    <t xml:space="preserve">Kraantje jerrycan 20-25 liter </t>
  </si>
  <si>
    <t>Kraantje plastic drum 60 liter</t>
  </si>
  <si>
    <t>Kraantje plastic drum 200 liter</t>
  </si>
  <si>
    <t xml:space="preserve">Kraantje metal drum 30-60-200 liter </t>
  </si>
  <si>
    <t>Pumpspray</t>
  </si>
  <si>
    <t xml:space="preserve">Doseerfles voor Fin clean all² </t>
  </si>
  <si>
    <t>Dopsleutel jerrycan 5-10 liter</t>
  </si>
  <si>
    <t>Dopsleutel jerrycan 20-25 liter</t>
  </si>
  <si>
    <t>Microvezeldoek met logo - per stuk</t>
  </si>
  <si>
    <t>Microvezeldoek met logo - per stuk vanaf 50 stuks</t>
  </si>
  <si>
    <t>Microvezeldoek met logo - per stuk vanaf 100 stuks</t>
  </si>
  <si>
    <t>Dossage cover</t>
  </si>
  <si>
    <t>Aerosol pistol grip - plastic</t>
  </si>
  <si>
    <t>Aerosol pistol grip - metal</t>
  </si>
  <si>
    <t>ILAC*</t>
  </si>
  <si>
    <t>ILAC werkdag</t>
  </si>
  <si>
    <t>ILAC PRO - licentie / jaar</t>
  </si>
  <si>
    <t>ILAC onderhoudsinspectie - Single Point</t>
  </si>
  <si>
    <t>MQS - Maintenance Quick Scan*</t>
  </si>
  <si>
    <t>MQS werkdag</t>
  </si>
  <si>
    <t>Opleidingen*</t>
  </si>
  <si>
    <t>ILAC training On-site (per blok van 4 uur)</t>
  </si>
  <si>
    <t>Customer training On-site (min 4 personen) - prijs pp</t>
  </si>
  <si>
    <t>Customer training HQB (min 6 personen) - prijs pp</t>
  </si>
  <si>
    <t>Uitvoerend werk*</t>
  </si>
  <si>
    <t>Uurtarief €</t>
  </si>
  <si>
    <t>Installatie automatisering (Pulsarlube, Single Points, ...)</t>
  </si>
  <si>
    <t>Vullen reductiekasten</t>
  </si>
  <si>
    <t>Menging Finnoly's</t>
  </si>
  <si>
    <t>Productstaalname voor analyse </t>
  </si>
  <si>
    <t>Inrichten stockageruimte</t>
  </si>
  <si>
    <t>Uitvoerend STO</t>
  </si>
  <si>
    <t xml:space="preserve">TOESLAGEN </t>
  </si>
  <si>
    <t>Toeslag</t>
  </si>
  <si>
    <t>Meerwerk (+ 8u/dag)</t>
  </si>
  <si>
    <t>+50%</t>
  </si>
  <si>
    <t>Zaterdag</t>
  </si>
  <si>
    <t>Zondag</t>
  </si>
  <si>
    <t>+100%</t>
  </si>
  <si>
    <t>Feestdag</t>
  </si>
  <si>
    <t>Shiftwerk vroege/late</t>
  </si>
  <si>
    <t>+15% (6u-14u of 14u-22u)</t>
  </si>
  <si>
    <t>Shiftwerk nacht</t>
  </si>
  <si>
    <t>+25% (22u-6u)</t>
  </si>
  <si>
    <r>
      <t>Slaapuren</t>
    </r>
    <r>
      <rPr>
        <vertAlign val="superscript"/>
        <sz val="10"/>
        <rFont val="Verdana"/>
        <family val="2"/>
      </rPr>
      <t>1</t>
    </r>
  </si>
  <si>
    <t>8 uren vergoed aan basistarief</t>
  </si>
  <si>
    <t>Warme zone</t>
  </si>
  <si>
    <t>+15%</t>
  </si>
  <si>
    <t>Vuil werk</t>
  </si>
  <si>
    <t>+10%</t>
  </si>
  <si>
    <t>Onafhankelijke adembescherming</t>
  </si>
  <si>
    <t>+5%</t>
  </si>
  <si>
    <t>! Toeslagen zijn combineerbaar.</t>
  </si>
  <si>
    <r>
      <rPr>
        <vertAlign val="superscript"/>
        <sz val="8"/>
        <color indexed="8"/>
        <rFont val="Calibri"/>
        <family val="2"/>
      </rPr>
      <t>1</t>
    </r>
    <r>
      <rPr>
        <sz val="8"/>
        <color indexed="8"/>
        <rFont val="Calibri"/>
        <family val="2"/>
      </rPr>
      <t xml:space="preserve"> Wanneer nachtshiften gepresteerd worden op een maandag, dinsdag, woensdag, donderdag en/of zondag, behoudt de opdrachtnemer zich het recht slaapuren aan te rekenen aan de opdrachtgever indien deze voor de daaropvolgende werkdag geen inplanning heeft gemaakt volgens het regime van de nachtshift. </t>
    </r>
  </si>
  <si>
    <t>Label ID</t>
  </si>
  <si>
    <t xml:space="preserve">Sheet - 180 zelfklevende labels </t>
  </si>
  <si>
    <t>Label ID - beige 1/4" (6,4 mm) + protective lens - 20 stuks</t>
  </si>
  <si>
    <t>Label ID - zwart 1/4" (6,4 mm) + protective lens - 20 stuks</t>
  </si>
  <si>
    <t>Label ID - blauw 1/4" (6,4 mm) + protective lens - 20 stuks</t>
  </si>
  <si>
    <t>Label ID - donker groen 1/4" (6,4 mm) + protective lens - 20 stuks</t>
  </si>
  <si>
    <t>Label ID - grijs 1/4" (6,4 mm) + protective lens - 20 stuks</t>
  </si>
  <si>
    <t>Label ID - groen 1/4" (6,4 mm) + protective lens - 20 stuks</t>
  </si>
  <si>
    <t>Label ID - oranje 1/4" (6,4 mm) + protective lens - 20 stuks</t>
  </si>
  <si>
    <t>Label ID - paars 1/4" (6,4 mm) + protective lens - 20 stuks</t>
  </si>
  <si>
    <t>Label ID - rood 1/4" (6,4 mm) + protective lens - 20 stuks</t>
  </si>
  <si>
    <t>Label ID - geel 1/4" (6,4 mm) + protective lens - 20 stuks</t>
  </si>
  <si>
    <t>Label ID - beige 13/32" (10,3 mm) + protective lens - 20 stuks</t>
  </si>
  <si>
    <t>Label ID - zwart 13/32" (10,3 mm) + protective lens - 20 stuks</t>
  </si>
  <si>
    <t>Label ID - blauw 13/32" (10,3 mm) + protective lens - 20 stuks</t>
  </si>
  <si>
    <t>Label ID - donker groen 13/32" (10,3 mm) + protective lens - 20 stuks</t>
  </si>
  <si>
    <t>Label ID - grijs 13/32" (10,3 mm) + protective lens - 20 stuks</t>
  </si>
  <si>
    <t>Label ID - groen 13/32" (10,3 mm) + protective lens - 20 stuks</t>
  </si>
  <si>
    <t>Label ID - oranje 13/32" (10,3 mm) + protective lens - 20 stuks</t>
  </si>
  <si>
    <t>Label ID - paars 13/32" (10,3 mm) + protective lens - 20 stuks</t>
  </si>
  <si>
    <t>Label ID - rood 13/32" (10,3 mm) + protective lens - 20 stuks</t>
  </si>
  <si>
    <t>Label ID - geel 13/32" (10,3 mm) + protective lens - 20 stuks</t>
  </si>
  <si>
    <t>Label ID - beige 17/32" (13,5 mm) + protective lens - 20 stuks</t>
  </si>
  <si>
    <t>Label ID - zwart 17/32" (13,5 mm) + protective lens - 20 stuks</t>
  </si>
  <si>
    <t>Label ID - blauw 17/32" (13,5 mm) + protective lens - 20 stuks</t>
  </si>
  <si>
    <t>Label ID - donker groen 17/32" (13,5 mm) + protective lens - 20 stuks</t>
  </si>
  <si>
    <t>Label ID - grijs 17/32" (13,5 mm) + protective lens - 20 stuks</t>
  </si>
  <si>
    <t>Label ID - groen 17/32" (13,5 mm) + protective lens - 20 stuks</t>
  </si>
  <si>
    <t>Label ID - oranje 17/32" (13,5 mm) + protective lens - 20 stuks</t>
  </si>
  <si>
    <t>Label ID - paars 17/32" (13,5 mm) + protective lens - 20 stuks</t>
  </si>
  <si>
    <t>Label ID - rood 17/32" (13,5 mm) + protective lens - 20 stuks</t>
  </si>
  <si>
    <t>Label ID - geel 17/32" (13,5 mm) + protective lens - 20 stuks</t>
  </si>
  <si>
    <t>Naamplaatjes</t>
  </si>
  <si>
    <t xml:space="preserve">Food lube </t>
  </si>
  <si>
    <t>Smeerwagens</t>
  </si>
  <si>
    <t>Lubricate cart</t>
  </si>
  <si>
    <t>Lubricate trolley</t>
  </si>
  <si>
    <t>Interflon Parts cleaner</t>
  </si>
  <si>
    <t>Artikelnr.</t>
  </si>
  <si>
    <t>Standaard - 60 liter</t>
  </si>
  <si>
    <t>Standaard - wielset</t>
  </si>
  <si>
    <t>Standaard - opvangbak</t>
  </si>
  <si>
    <t>Groot - 200 liter</t>
  </si>
  <si>
    <t>Groot - wielset</t>
  </si>
  <si>
    <t>Groot - opvangbak</t>
  </si>
  <si>
    <t>Interflon Eco dispenser</t>
  </si>
  <si>
    <t>Eco dispenser + key</t>
  </si>
  <si>
    <t>Eco dispenser connector</t>
  </si>
  <si>
    <t>Eco dispenser key</t>
  </si>
  <si>
    <t>Eco dispenser installatiekit</t>
  </si>
  <si>
    <t>Interflon Oil dispenser</t>
  </si>
  <si>
    <t>Interflon Oil Dispenser M1</t>
  </si>
  <si>
    <t>Interflon Oil Dispenser M2</t>
  </si>
  <si>
    <t>Interflon Oil Dispenser PLC1</t>
  </si>
  <si>
    <t>Interflon Oil Dispenser PLC2</t>
  </si>
  <si>
    <t>Interflon Oil Dispenser Divider block 2 outlets</t>
  </si>
  <si>
    <t>Interflon Oil Dispenser Divider block 1 outlet</t>
  </si>
  <si>
    <t>Interflon Oil Dispenser M1 - nozzle</t>
  </si>
  <si>
    <t>Interflon Oil Dispenser M2 - nozzle</t>
  </si>
  <si>
    <t>Interflon Oil Dispenser PLC1 - nozzle</t>
  </si>
  <si>
    <t>Interflon Oil Dispenser PLC2 - nozzle</t>
  </si>
  <si>
    <t>Interflon Oil Dispenser Divider block 1 outlet nozzle</t>
  </si>
  <si>
    <t>Interflon Oil Dispenser Divider block 2 outlets nozzle</t>
  </si>
  <si>
    <t>Interflon Oil Dispenser Bracket nozzle</t>
  </si>
  <si>
    <t>Interflon vetpompen - handmatig</t>
  </si>
  <si>
    <t>Slang</t>
  </si>
  <si>
    <t>Interflon classic grease gun E500</t>
  </si>
  <si>
    <t>0,3 m</t>
  </si>
  <si>
    <t>Interflon Lube-Shuttle one hand grease gun 1/8"</t>
  </si>
  <si>
    <t>Interflon Lube-Shuttle two hand grease gun 1/8"</t>
  </si>
  <si>
    <t>Interflon Manual lubrication pump 13 liter</t>
  </si>
  <si>
    <t>2 m</t>
  </si>
  <si>
    <t>Interflon Manual filling pump 13 liter</t>
  </si>
  <si>
    <t>­</t>
  </si>
  <si>
    <t>Interflon Manual filling pump 30 liter</t>
  </si>
  <si>
    <t>Interflon vetpompen - pneumatisch</t>
  </si>
  <si>
    <t>Interflon LubeJet-Eco</t>
  </si>
  <si>
    <t>Interflon vetpompen - accu aangedreven</t>
  </si>
  <si>
    <t>Art.nr</t>
  </si>
  <si>
    <t>Prijs in €</t>
  </si>
  <si>
    <t>Interflon Battery Grease Gun 18V + 2 LI-Ion batteries 4000mAh</t>
  </si>
  <si>
    <t>Interflon Battery Grease Gun 18V + 2 LI-Ion batteries + D + M</t>
  </si>
  <si>
    <t>Interflon nippelsmeersystemen - pneumatisch</t>
  </si>
  <si>
    <t>Pneumatic drum pump + AMS - 30 liter - P - M</t>
  </si>
  <si>
    <t>3 m</t>
  </si>
  <si>
    <t>Pneumatic drum pump + AMS - 60 liter - P - M</t>
  </si>
  <si>
    <t>Interflon Rail</t>
  </si>
  <si>
    <t>Interflon Rail - Backpack sprayer 10 liter</t>
  </si>
  <si>
    <t>Interflon Rail - Toolbox</t>
  </si>
  <si>
    <t>Interflon hardware - divers</t>
  </si>
  <si>
    <t>Interflon G-koppeling - smeernippel R1/8"</t>
  </si>
  <si>
    <t>Interflon G-koppeling - smeernippel M10x1</t>
  </si>
  <si>
    <t>Interflon Tube dispenser</t>
  </si>
  <si>
    <t>Interflon Tube dispenser kit</t>
  </si>
  <si>
    <t>Interflon Thread tester</t>
  </si>
  <si>
    <t>Interflon Chain Pitch Gauge</t>
  </si>
  <si>
    <t>Interflon CLS filler</t>
  </si>
  <si>
    <t>Interflon CLS filler - adapter M20x1,5</t>
  </si>
  <si>
    <t>Interflon CLS filler - adapter M22x1,5</t>
  </si>
  <si>
    <t>Trolley voor 13 en 30 l vaten</t>
  </si>
  <si>
    <t>Interflon Right Angle Coupler</t>
  </si>
  <si>
    <t>Power wipes houder - metaal</t>
  </si>
  <si>
    <t>Hulpmaterialen - divers</t>
  </si>
  <si>
    <t>Staalnamepompje + 1,5 m tube</t>
  </si>
  <si>
    <t>1,5 m</t>
  </si>
  <si>
    <t>All-in nevelsysteem - 200 liter - handmatig</t>
  </si>
  <si>
    <t>0,9 m</t>
  </si>
  <si>
    <t>Pneumatisch pistool (grafiteerpistool) ANI 26-B TN</t>
  </si>
  <si>
    <t>Pneumatisch pistool (grafiteerpistool) ANI 26-B</t>
  </si>
  <si>
    <t>Mesto ferrox plus hogedruksproeier 6 - 9 liter</t>
  </si>
  <si>
    <t>Mesto ferrox plus hogedruksproeier 10 - 13 liter</t>
  </si>
  <si>
    <t>Vetpompen - handmatig</t>
  </si>
  <si>
    <t>Matonummer</t>
  </si>
  <si>
    <t>Zuig- en vulpomp</t>
  </si>
  <si>
    <t>34 600 82</t>
  </si>
  <si>
    <t>Lube-Shuttle grease gun + staafmondstuk E4024</t>
  </si>
  <si>
    <t>-</t>
  </si>
  <si>
    <t>30 110 00</t>
  </si>
  <si>
    <t>Lube-Shuttle TG one hand gun + staafmondstuk E4024</t>
  </si>
  <si>
    <t>30 150 60</t>
  </si>
  <si>
    <t>One hand grease gun TG-500 - R1/8" - H - flexibele slang R1/8"</t>
  </si>
  <si>
    <t>32 102 29</t>
  </si>
  <si>
    <t>Vetpompen - pneumatisch</t>
  </si>
  <si>
    <t>One hand grease gun TG-500 - R1/8" - P - flexibele slang R1/8"</t>
  </si>
  <si>
    <t>34 100 56</t>
  </si>
  <si>
    <t>Vulsystemen - handmatig</t>
  </si>
  <si>
    <t>Grease gun filler pump ecofill - 30 liter - H - S</t>
  </si>
  <si>
    <t>33 825 06</t>
  </si>
  <si>
    <t>Grease gun filler pump ecofill - 60 liter - H - S</t>
  </si>
  <si>
    <t>33 850 02</t>
  </si>
  <si>
    <t>Centrafill deluxe filler pump - 30 liter - H - S</t>
  </si>
  <si>
    <t>33 825 68</t>
  </si>
  <si>
    <t>Centrafill deluxe filler pump - 60 liter - H - S</t>
  </si>
  <si>
    <t>33 850 64</t>
  </si>
  <si>
    <t>Centrafill deluxe filler pump - 30 liter - H - M</t>
  </si>
  <si>
    <t>33 826 05</t>
  </si>
  <si>
    <t>Centrafill deluxe filler pump - 60 liter - H - M</t>
  </si>
  <si>
    <t>33 851 01</t>
  </si>
  <si>
    <t>Vulsystemen - pneumatisch</t>
  </si>
  <si>
    <t>Pneumato filler pump + AMS - 30 liter - P - S</t>
  </si>
  <si>
    <t>33 725 21</t>
  </si>
  <si>
    <t>Pneumato filler pump + AMS - 60 liter - P - S</t>
  </si>
  <si>
    <t>33 750 10</t>
  </si>
  <si>
    <t>Pneumato filler pump + AMS - 200 liter - P - S</t>
  </si>
  <si>
    <t>33 720 02</t>
  </si>
  <si>
    <t>Pneumato filler pump + AMS - 30 liter - P - M</t>
  </si>
  <si>
    <t>33 725 90</t>
  </si>
  <si>
    <t>Pneumato filler pump + AMS - 60 liter - P - M</t>
  </si>
  <si>
    <t>33 750 89</t>
  </si>
  <si>
    <t>Nippelsmeersystemen - pneumatisch</t>
  </si>
  <si>
    <t>Pneumato 55 grease pump unit + AMS - 30 liter - P - S</t>
  </si>
  <si>
    <t>3,5 m</t>
  </si>
  <si>
    <t>34 106 67</t>
  </si>
  <si>
    <t>Pneumato 55 grease pump unit + AMS - 60 liter - P - S</t>
  </si>
  <si>
    <t>34 107 66</t>
  </si>
  <si>
    <t>Pneumato 55 grease pump unit + AMS - 200 liter - P - S</t>
  </si>
  <si>
    <t>34 107 80</t>
  </si>
  <si>
    <t>Pneumato 55 grease pump unit + AMS - 30 liter - P - M ○</t>
  </si>
  <si>
    <t>34 125 00</t>
  </si>
  <si>
    <t>Pneumato 55 grease pump unit + AMS - 60 liter - P - M ○</t>
  </si>
  <si>
    <t>34 150 06</t>
  </si>
  <si>
    <t>Vernevelsystemen - pneumatisch</t>
  </si>
  <si>
    <t>Lube-Jet grease spray pump + AMS - 30 liter - P - M (2 dozen)</t>
  </si>
  <si>
    <t>10 m</t>
  </si>
  <si>
    <t>33 726 20</t>
  </si>
  <si>
    <t>Lube-Jet grease spray pump + AMS - 60 liter - P - M (2 dozen)</t>
  </si>
  <si>
    <t>33 756 21</t>
  </si>
  <si>
    <t>Combi Lube-Jet grease spray pump + AMS - 30 l - P - M (2 dozen)</t>
  </si>
  <si>
    <t>Combi Lube-Jet grease spray pump + AMS - 60 l - P - M (2 dozen)</t>
  </si>
  <si>
    <t>Onderdelen - divers</t>
  </si>
  <si>
    <t>Vatwagen</t>
  </si>
  <si>
    <t>34 700 50</t>
  </si>
  <si>
    <t>Air management system + Lube PN32 100 ml</t>
  </si>
  <si>
    <t>39 902 20</t>
  </si>
  <si>
    <t>Grease meter (Vadalub)</t>
  </si>
  <si>
    <t>Staafmondstuk E4024</t>
  </si>
  <si>
    <t>32 402 19</t>
  </si>
  <si>
    <t>Flexibele slang 30 cm R1/8" hydr.</t>
  </si>
  <si>
    <t>32 562 10</t>
  </si>
  <si>
    <t>Lube-shuttle® lege cartouches (wit)</t>
  </si>
  <si>
    <t>31 198 05</t>
  </si>
  <si>
    <t>Lube-Shuttle refilladapter + AC combi-adapter</t>
  </si>
  <si>
    <t>Lube-Shuttle refilladapter</t>
  </si>
  <si>
    <t>31 150 50</t>
  </si>
  <si>
    <t>Smeerpistolen</t>
  </si>
  <si>
    <t>Hogedruk smeerpistool</t>
  </si>
  <si>
    <t>34 108 03</t>
  </si>
  <si>
    <t>Hogedruk smeerpistool met Z-koppeling</t>
  </si>
  <si>
    <t>34 108 34</t>
  </si>
  <si>
    <t>Lubejet pistool</t>
  </si>
  <si>
    <t>33 793 60</t>
  </si>
  <si>
    <t>Pneumatische pompen</t>
  </si>
  <si>
    <t>Pneumato 55 grease pump 30 liter</t>
  </si>
  <si>
    <t>34 102 54</t>
  </si>
  <si>
    <t>Pneumato 55 grease pump 60 liter</t>
  </si>
  <si>
    <t>34 102 78</t>
  </si>
  <si>
    <t>Snelkoppelingen</t>
  </si>
  <si>
    <t>Snelkoppeling F12 - spitsmondstuk</t>
  </si>
  <si>
    <t>32 405 30</t>
  </si>
  <si>
    <t>Snelkoppeling F15 - haakse kop - trekkoppeling</t>
  </si>
  <si>
    <t>32 405 78</t>
  </si>
  <si>
    <t>Snelkoppeling - stekker - vetpomphulpstuk</t>
  </si>
  <si>
    <t>33 902 28</t>
  </si>
  <si>
    <t>Snelkoppeling - huis - vetpomphulpstuk</t>
  </si>
  <si>
    <t>33 902 42</t>
  </si>
  <si>
    <t>Hogedrukslangen</t>
  </si>
  <si>
    <t>Hogedrukslang 3,5 m</t>
  </si>
  <si>
    <t>32 591 50</t>
  </si>
  <si>
    <t>Hogedrukslang 6,5 m</t>
  </si>
  <si>
    <t>32 591 74</t>
  </si>
  <si>
    <t>Hogedrukslang 10 m</t>
  </si>
  <si>
    <t>32 591 98</t>
  </si>
  <si>
    <t>Deksels / volgplaten</t>
  </si>
  <si>
    <t>Deksel 30 liter - drum</t>
  </si>
  <si>
    <t>33 960 46</t>
  </si>
  <si>
    <t>Volgplaat 30 liter - drum</t>
  </si>
  <si>
    <t>33 933 59</t>
  </si>
  <si>
    <t>Deksel 60 liter - drum</t>
  </si>
  <si>
    <t>33 960 60</t>
  </si>
  <si>
    <t>Volgplaat 60 liter - drum</t>
  </si>
  <si>
    <t>33 938 54</t>
  </si>
  <si>
    <t>Deksel 200 liter - drum</t>
  </si>
  <si>
    <t>33 960 84</t>
  </si>
  <si>
    <t>Volgplaat 200 liter - drum</t>
  </si>
  <si>
    <t>33 959 02</t>
  </si>
  <si>
    <t>Oliesmeernippels</t>
  </si>
  <si>
    <t>Afname per</t>
  </si>
  <si>
    <t>Cobra - RVS304 - M8x1 - lengte schroefdraad 6 mm (incl. stofkapje)</t>
  </si>
  <si>
    <t>Cobra - RVS304 - M6x1 - lengte schroefdraad 6 mm (incl. stofkapje)</t>
  </si>
  <si>
    <t>Cobra - RVS304 - M5x0,8 - lengte schroefdraad 6 mm (incl. stofkapje)</t>
  </si>
  <si>
    <t>Stofkapje voor oliesmeernippel M5 &amp; M6 - metaaldetecteerbaar - blauw</t>
  </si>
  <si>
    <t>Stofkapje voor oliesmeernippel M8 - metaaldetecteerbaar - blauw</t>
  </si>
  <si>
    <t>Lube-Shuttle adaptors</t>
  </si>
  <si>
    <t>Lube-Shuttle adaptor T1 - Milwaukee / Lincoln</t>
  </si>
  <si>
    <t>Lube-Shuttle adaptor T2 - Pressol</t>
  </si>
  <si>
    <t>Food lube 3H</t>
  </si>
  <si>
    <t>Manometer D63 0+600 1/4" RUG GLYC (rugaansluiting)</t>
  </si>
  <si>
    <t>Manometer D63 0+600 1/4" OND GLYC (aansluiting onderaan)</t>
  </si>
  <si>
    <t>AMPShare batterij 18 V - 4000mAh</t>
  </si>
  <si>
    <t>34 290 27</t>
  </si>
  <si>
    <t>LeafGuard - Clean OTR</t>
  </si>
  <si>
    <t>Cobra - RVS304 - M8x1.25 - lengte schroefdraad 6 mm (incl. stofkapje)</t>
  </si>
  <si>
    <t>Cobra - RVS304 - M10x1 - lengte schroefdraad 6 mm (incl. stofkapje)</t>
  </si>
  <si>
    <t xml:space="preserve">Dirt seperator - 60 liter </t>
  </si>
  <si>
    <t>Dirt seperator - 200 liter</t>
  </si>
  <si>
    <t xml:space="preserve">Food lube AL </t>
  </si>
  <si>
    <t>Air Breathers</t>
  </si>
  <si>
    <t>Air Breather filter size S ( ø 140,7 mm x 140,0 mm with 1 plug connector)</t>
  </si>
  <si>
    <t>Air Breather filter size M ( ø 140,7 mm x 172,0 mm with 1 plug connector)</t>
  </si>
  <si>
    <t>Air Breather filter size L ( ø 140,7 mm x 261,0 mm with 1 plug connector)</t>
  </si>
  <si>
    <t>Adapter (Pulsarlube AIR), for 1 "plug connection × PT 3/8" M (EU)</t>
  </si>
  <si>
    <t>Adapter (Pulsarlube AIR), for 1 "plug connection × NPT 3/8" M (USA)</t>
  </si>
  <si>
    <t>Adapter (Pulsarlube AIR), for 1 "plug connection × PT 1/2" M (EU)</t>
  </si>
  <si>
    <t>Adapter (Pulsarlube AIR), for 1 "plug connection × NPT 1/2" M (USA)</t>
  </si>
  <si>
    <t>Adapter (Pulsarlube AIR), for 1 "plug connection × PT 1" M (EU)</t>
  </si>
  <si>
    <t>Adapter (Pulsarlube AIR), for 1 "plug connection × NPT 1" M (USA)</t>
  </si>
  <si>
    <t xml:space="preserve">!! Kan alleen gecombineerd worden met art 4512 !! </t>
  </si>
  <si>
    <t xml:space="preserve">Adapter (Pulsarlube AIR), PT1 / 2 " F x PT1 / 8" M (EU) </t>
  </si>
  <si>
    <t>Adapter (Pulsarlube AIR), for 1 "plug connection × PT 3/4" M (EU)</t>
  </si>
  <si>
    <t>Interflon Single Point Lubricator - 15 ml</t>
  </si>
  <si>
    <t>Single Point Lubricator + Grease MP1</t>
  </si>
  <si>
    <t>Single Point Lubricator + Food grease HD2</t>
  </si>
  <si>
    <t>15 ml</t>
  </si>
  <si>
    <t>Interflon Single Point Lubricator - 30 ml</t>
  </si>
  <si>
    <t>30 ml</t>
  </si>
  <si>
    <t>Single Point Lubricator + Food lube G220</t>
  </si>
  <si>
    <t>1099.0011</t>
  </si>
  <si>
    <t>1099.0023</t>
  </si>
  <si>
    <t>Graco RAC X Heavy duty tip HDA 527</t>
  </si>
  <si>
    <t>1099.0024</t>
  </si>
  <si>
    <t>Graco RAC X LP tip LP 517</t>
  </si>
  <si>
    <t>1099.0025</t>
  </si>
  <si>
    <t>Graco UltraMAX Battery Spraygun</t>
  </si>
  <si>
    <t>Graco RAC X Long lasting switchtip PAA 317</t>
  </si>
  <si>
    <t>Graco RAC X Long lasting switchtip PAA 425</t>
  </si>
  <si>
    <t>Vernevelsystemen - accu aangedreven</t>
  </si>
  <si>
    <t>Olie-analyse IND 3A</t>
  </si>
  <si>
    <t>1099.0026</t>
  </si>
  <si>
    <t>1099.0027</t>
  </si>
  <si>
    <t>Graco RAC X FFLP Fine Finish switchtip 108</t>
  </si>
  <si>
    <t>Graco RAC X FFLP Fine Finish switchtip 212</t>
  </si>
  <si>
    <t>1099.0029</t>
  </si>
  <si>
    <t>1099.0030</t>
  </si>
  <si>
    <t>Graco RAC X FFLP Fine Finish switchtip 410 (meegeleverd met toestel)</t>
  </si>
  <si>
    <t>Graco RAC X FFLP Fine Finish switchtip 514 (meegeleverd met toestel)</t>
  </si>
  <si>
    <t>Graco RAC X Long lasting switchtip PAA 315</t>
  </si>
  <si>
    <t>Graco RAC X FFLP Fine Finish switchtip 308</t>
  </si>
  <si>
    <t>1099.0031</t>
  </si>
  <si>
    <t>1099.0032</t>
  </si>
  <si>
    <t>1099.0034</t>
  </si>
  <si>
    <t>Graco RAC X FFLP Fine Finish switchtip 106</t>
  </si>
  <si>
    <t>1099.0061</t>
  </si>
  <si>
    <t>1099.0062</t>
  </si>
  <si>
    <t>GRACO 1 liter FlexLiner bags (x3)</t>
  </si>
  <si>
    <t xml:space="preserve">GRACO 1 liter FlexLiner bags (x25) </t>
  </si>
  <si>
    <t>* Er wordt steeds een kilometervergoeding aangerekend van € 1/km heen en terug. Traject HQB - klant.</t>
  </si>
  <si>
    <t>* Er wordt steeds een reisvergoeding per persoon aangerekend van € 1/km heen en terug. Traject HQB - klant.</t>
  </si>
  <si>
    <t>20 kg</t>
  </si>
  <si>
    <t>Graco UltraMAX extension tip 30" - 74 cm (art 7253 steeds nodig)</t>
  </si>
  <si>
    <t xml:space="preserve">Graco adapter for Ultramax extension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</si>
</sst>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1" x14ac:knownFonts="1"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sz val="10"/>
      <color indexed="9"/>
      <name val="Verdana"/>
      <family val="2"/>
    </font>
    <font>
      <sz val="18"/>
      <color indexed="9"/>
      <name val="Verdana"/>
      <family val="2"/>
    </font>
    <font>
      <sz val="10"/>
      <color indexed="12"/>
      <name val="Verdana"/>
      <family val="2"/>
    </font>
    <font>
      <b/>
      <u/>
      <sz val="10"/>
      <name val="Verdana"/>
      <family val="2"/>
    </font>
    <font>
      <sz val="10"/>
      <name val="Calibri"/>
      <family val="2"/>
    </font>
    <font>
      <sz val="8"/>
      <color indexed="8"/>
      <name val="Calibri"/>
      <family val="2"/>
    </font>
    <font>
      <vertAlign val="superscript"/>
      <sz val="10"/>
      <name val="Verdana"/>
      <family val="2"/>
    </font>
    <font>
      <vertAlign val="superscript"/>
      <sz val="8"/>
      <color indexed="8"/>
      <name val="Calibri"/>
      <family val="2"/>
    </font>
    <font>
      <sz val="10"/>
      <color theme="0"/>
      <name val="Verdana"/>
      <family val="2"/>
    </font>
    <font>
      <b/>
      <sz val="10"/>
      <color theme="0"/>
      <name val="Verdana"/>
      <family val="2"/>
    </font>
    <font>
      <sz val="10"/>
      <color rgb="FF9900CC"/>
      <name val="Verdana"/>
      <family val="2"/>
    </font>
    <font>
      <sz val="10"/>
      <color rgb="FF0000FF"/>
      <name val="Verdana"/>
      <family val="2"/>
    </font>
    <font>
      <sz val="10"/>
      <color rgb="FF7030A0"/>
      <name val="Verdana"/>
      <family val="2"/>
    </font>
    <font>
      <sz val="10"/>
      <color rgb="FFE600E6"/>
      <name val="Verdana"/>
      <family val="2"/>
    </font>
    <font>
      <b/>
      <sz val="10"/>
      <color rgb="FFE600E6"/>
      <name val="Verdana"/>
      <family val="2"/>
    </font>
    <font>
      <sz val="9"/>
      <color rgb="FFE600E6"/>
      <name val="Verdana"/>
      <family val="2"/>
    </font>
    <font>
      <b/>
      <sz val="12"/>
      <color theme="0"/>
      <name val="Verdana"/>
      <family val="2"/>
    </font>
    <font>
      <sz val="10"/>
      <color theme="1"/>
      <name val="Verdana"/>
      <family val="2"/>
    </font>
    <font>
      <b/>
      <sz val="10"/>
      <color rgb="FFC00000"/>
      <name val="Verdana"/>
      <family val="2"/>
    </font>
    <font>
      <b/>
      <sz val="10"/>
      <color rgb="FFCC9900"/>
      <name val="Verdana"/>
      <family val="2"/>
    </font>
    <font>
      <sz val="10"/>
      <name val="Calibri"/>
      <family val="2"/>
      <scheme val="minor"/>
    </font>
    <font>
      <sz val="10"/>
      <color rgb="FFFF0000"/>
      <name val="Verdana"/>
      <family val="2"/>
    </font>
    <font>
      <b/>
      <sz val="10"/>
      <color rgb="FFC00000"/>
      <name val="Calibri"/>
      <family val="2"/>
      <scheme val="minor"/>
    </font>
    <font>
      <sz val="10"/>
      <name val="Aptos Narrow"/>
      <family val="2"/>
    </font>
    <font>
      <sz val="10"/>
      <color rgb="FFC00000"/>
      <name val="Verdana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7F3F"/>
        <bgColor indexed="64"/>
      </patternFill>
    </fill>
    <fill>
      <patternFill patternType="solid">
        <fgColor rgb="FFFFD9E8"/>
        <bgColor indexed="64"/>
      </patternFill>
    </fill>
    <fill>
      <patternFill patternType="solid">
        <fgColor rgb="FFD3F5D3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DDB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2" fontId="2" fillId="0" borderId="0" xfId="0" applyNumberFormat="1" applyFont="1"/>
    <xf numFmtId="49" fontId="4" fillId="0" borderId="0" xfId="0" applyNumberFormat="1" applyFont="1" applyAlignment="1">
      <alignment horizontal="right"/>
    </xf>
    <xf numFmtId="0" fontId="3" fillId="0" borderId="0" xfId="0" applyFont="1"/>
    <xf numFmtId="164" fontId="2" fillId="0" borderId="0" xfId="0" applyNumberFormat="1" applyFont="1"/>
    <xf numFmtId="0" fontId="5" fillId="0" borderId="0" xfId="0" applyFont="1" applyAlignment="1">
      <alignment horizontal="right"/>
    </xf>
    <xf numFmtId="0" fontId="13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3" borderId="0" xfId="0" applyFont="1" applyFill="1"/>
    <xf numFmtId="0" fontId="2" fillId="4" borderId="0" xfId="0" applyFont="1" applyFill="1"/>
    <xf numFmtId="2" fontId="15" fillId="0" borderId="0" xfId="0" applyNumberFormat="1" applyFont="1"/>
    <xf numFmtId="0" fontId="15" fillId="0" borderId="0" xfId="0" applyFont="1" applyAlignment="1">
      <alignment horizontal="right"/>
    </xf>
    <xf numFmtId="4" fontId="15" fillId="0" borderId="0" xfId="0" applyNumberFormat="1" applyFont="1"/>
    <xf numFmtId="0" fontId="14" fillId="5" borderId="0" xfId="0" applyFont="1" applyFill="1"/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4" fontId="7" fillId="0" borderId="0" xfId="0" applyNumberFormat="1" applyFont="1"/>
    <xf numFmtId="2" fontId="16" fillId="0" borderId="0" xfId="0" applyNumberFormat="1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4" fontId="2" fillId="0" borderId="0" xfId="1" applyNumberFormat="1" applyFont="1" applyAlignment="1">
      <alignment horizontal="right"/>
    </xf>
    <xf numFmtId="2" fontId="2" fillId="0" borderId="0" xfId="1" applyNumberFormat="1" applyFont="1"/>
    <xf numFmtId="4" fontId="17" fillId="0" borderId="0" xfId="1" applyNumberFormat="1" applyFont="1" applyAlignment="1">
      <alignment horizontal="right"/>
    </xf>
    <xf numFmtId="0" fontId="17" fillId="0" borderId="0" xfId="1" applyFont="1" applyAlignment="1">
      <alignment horizontal="center"/>
    </xf>
    <xf numFmtId="0" fontId="17" fillId="0" borderId="0" xfId="1" applyFont="1" applyAlignment="1">
      <alignment horizontal="right"/>
    </xf>
    <xf numFmtId="2" fontId="17" fillId="0" borderId="0" xfId="1" applyNumberFormat="1" applyFont="1"/>
    <xf numFmtId="0" fontId="14" fillId="0" borderId="0" xfId="0" applyFont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2" fontId="17" fillId="0" borderId="0" xfId="0" applyNumberFormat="1" applyFont="1"/>
    <xf numFmtId="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2" fontId="18" fillId="0" borderId="0" xfId="0" applyNumberFormat="1" applyFont="1"/>
    <xf numFmtId="4" fontId="18" fillId="0" borderId="0" xfId="0" applyNumberFormat="1" applyFont="1" applyAlignment="1">
      <alignment horizontal="right"/>
    </xf>
    <xf numFmtId="0" fontId="14" fillId="4" borderId="0" xfId="0" applyFont="1" applyFill="1"/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right"/>
    </xf>
    <xf numFmtId="2" fontId="18" fillId="0" borderId="0" xfId="1" applyNumberFormat="1" applyFont="1"/>
    <xf numFmtId="4" fontId="18" fillId="0" borderId="0" xfId="1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8" fillId="0" borderId="0" xfId="0" applyFont="1"/>
    <xf numFmtId="4" fontId="18" fillId="0" borderId="0" xfId="0" applyNumberFormat="1" applyFont="1"/>
    <xf numFmtId="0" fontId="14" fillId="6" borderId="0" xfId="0" applyFont="1" applyFill="1"/>
    <xf numFmtId="0" fontId="19" fillId="0" borderId="0" xfId="0" applyFont="1"/>
    <xf numFmtId="164" fontId="18" fillId="0" borderId="0" xfId="0" applyNumberFormat="1" applyFont="1"/>
    <xf numFmtId="2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0" fontId="14" fillId="7" borderId="0" xfId="0" applyFont="1" applyFill="1"/>
    <xf numFmtId="0" fontId="2" fillId="0" borderId="0" xfId="0" applyFont="1" applyAlignment="1">
      <alignment horizontal="left"/>
    </xf>
    <xf numFmtId="0" fontId="14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4" fillId="7" borderId="0" xfId="0" applyFont="1" applyFill="1" applyAlignment="1">
      <alignment horizontal="right"/>
    </xf>
    <xf numFmtId="0" fontId="14" fillId="0" borderId="0" xfId="0" applyFont="1" applyAlignment="1">
      <alignment horizontal="right"/>
    </xf>
    <xf numFmtId="0" fontId="14" fillId="7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4" fontId="14" fillId="7" borderId="0" xfId="0" applyNumberFormat="1" applyFont="1" applyFill="1"/>
    <xf numFmtId="4" fontId="13" fillId="2" borderId="0" xfId="0" applyNumberFormat="1" applyFont="1" applyFill="1" applyAlignment="1">
      <alignment horizontal="right"/>
    </xf>
    <xf numFmtId="4" fontId="14" fillId="0" borderId="0" xfId="0" applyNumberFormat="1" applyFont="1"/>
    <xf numFmtId="4" fontId="13" fillId="0" borderId="0" xfId="0" applyNumberFormat="1" applyFont="1" applyAlignment="1">
      <alignment horizontal="right"/>
    </xf>
    <xf numFmtId="0" fontId="13" fillId="2" borderId="0" xfId="0" applyFont="1" applyFill="1" applyAlignment="1">
      <alignment horizontal="left"/>
    </xf>
    <xf numFmtId="0" fontId="14" fillId="3" borderId="0" xfId="0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2" fontId="17" fillId="0" borderId="0" xfId="1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right"/>
    </xf>
    <xf numFmtId="4" fontId="2" fillId="8" borderId="0" xfId="0" applyNumberFormat="1" applyFont="1" applyFill="1" applyAlignment="1">
      <alignment horizontal="right"/>
    </xf>
    <xf numFmtId="0" fontId="2" fillId="8" borderId="0" xfId="0" applyFont="1" applyFill="1"/>
    <xf numFmtId="0" fontId="9" fillId="8" borderId="0" xfId="0" applyFont="1" applyFill="1" applyAlignment="1">
      <alignment horizontal="center"/>
    </xf>
    <xf numFmtId="0" fontId="2" fillId="8" borderId="0" xfId="1" applyFont="1" applyFill="1" applyAlignment="1">
      <alignment horizontal="center"/>
    </xf>
    <xf numFmtId="0" fontId="2" fillId="8" borderId="0" xfId="1" applyFont="1" applyFill="1" applyAlignment="1">
      <alignment horizontal="right"/>
    </xf>
    <xf numFmtId="4" fontId="2" fillId="8" borderId="0" xfId="1" applyNumberFormat="1" applyFont="1" applyFill="1" applyAlignment="1">
      <alignment horizontal="right"/>
    </xf>
    <xf numFmtId="2" fontId="2" fillId="8" borderId="0" xfId="0" applyNumberFormat="1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right"/>
    </xf>
    <xf numFmtId="2" fontId="2" fillId="9" borderId="0" xfId="0" applyNumberFormat="1" applyFont="1" applyFill="1"/>
    <xf numFmtId="4" fontId="2" fillId="9" borderId="0" xfId="0" applyNumberFormat="1" applyFont="1" applyFill="1" applyAlignment="1">
      <alignment horizontal="right"/>
    </xf>
    <xf numFmtId="0" fontId="2" fillId="9" borderId="0" xfId="0" applyFont="1" applyFill="1"/>
    <xf numFmtId="4" fontId="2" fillId="9" borderId="0" xfId="0" applyNumberFormat="1" applyFont="1" applyFill="1"/>
    <xf numFmtId="0" fontId="18" fillId="9" borderId="0" xfId="0" applyFont="1" applyFill="1" applyAlignment="1">
      <alignment horizontal="center"/>
    </xf>
    <xf numFmtId="0" fontId="18" fillId="9" borderId="0" xfId="0" applyFont="1" applyFill="1"/>
    <xf numFmtId="0" fontId="18" fillId="9" borderId="0" xfId="0" applyFont="1" applyFill="1" applyAlignment="1">
      <alignment horizontal="right"/>
    </xf>
    <xf numFmtId="0" fontId="17" fillId="9" borderId="0" xfId="0" applyFont="1" applyFill="1" applyAlignment="1">
      <alignment horizontal="center"/>
    </xf>
    <xf numFmtId="0" fontId="17" fillId="9" borderId="0" xfId="0" applyFont="1" applyFill="1" applyAlignment="1">
      <alignment horizontal="right"/>
    </xf>
    <xf numFmtId="0" fontId="9" fillId="9" borderId="0" xfId="0" applyFont="1" applyFill="1" applyAlignment="1">
      <alignment horizontal="center"/>
    </xf>
    <xf numFmtId="0" fontId="2" fillId="10" borderId="0" xfId="0" applyFont="1" applyFill="1" applyAlignment="1">
      <alignment horizontal="right"/>
    </xf>
    <xf numFmtId="2" fontId="2" fillId="10" borderId="0" xfId="0" applyNumberFormat="1" applyFont="1" applyFill="1"/>
    <xf numFmtId="4" fontId="2" fillId="10" borderId="0" xfId="0" applyNumberFormat="1" applyFont="1" applyFill="1" applyAlignment="1">
      <alignment horizontal="right"/>
    </xf>
    <xf numFmtId="0" fontId="9" fillId="10" borderId="0" xfId="0" applyFont="1" applyFill="1" applyAlignment="1">
      <alignment horizontal="center"/>
    </xf>
    <xf numFmtId="0" fontId="2" fillId="10" borderId="0" xfId="0" applyFont="1" applyFill="1"/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horizontal="right"/>
    </xf>
    <xf numFmtId="2" fontId="2" fillId="11" borderId="0" xfId="0" applyNumberFormat="1" applyFont="1" applyFill="1"/>
    <xf numFmtId="4" fontId="2" fillId="11" borderId="0" xfId="0" applyNumberFormat="1" applyFont="1" applyFill="1" applyAlignment="1">
      <alignment horizontal="right"/>
    </xf>
    <xf numFmtId="0" fontId="2" fillId="11" borderId="0" xfId="0" applyFont="1" applyFill="1"/>
    <xf numFmtId="0" fontId="19" fillId="11" borderId="0" xfId="0" applyFont="1" applyFill="1"/>
    <xf numFmtId="0" fontId="18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right"/>
    </xf>
    <xf numFmtId="0" fontId="2" fillId="12" borderId="0" xfId="0" applyFont="1" applyFill="1" applyAlignment="1">
      <alignment horizontal="left"/>
    </xf>
    <xf numFmtId="2" fontId="2" fillId="12" borderId="0" xfId="0" applyNumberFormat="1" applyFont="1" applyFill="1"/>
    <xf numFmtId="0" fontId="2" fillId="12" borderId="0" xfId="0" applyFont="1" applyFill="1"/>
    <xf numFmtId="0" fontId="9" fillId="12" borderId="0" xfId="0" applyFont="1" applyFill="1" applyAlignment="1">
      <alignment horizontal="center"/>
    </xf>
    <xf numFmtId="0" fontId="2" fillId="12" borderId="0" xfId="1" applyFont="1" applyFill="1" applyAlignment="1">
      <alignment horizontal="center"/>
    </xf>
    <xf numFmtId="0" fontId="13" fillId="0" borderId="0" xfId="0" applyFont="1" applyAlignment="1">
      <alignment horizontal="left"/>
    </xf>
    <xf numFmtId="0" fontId="9" fillId="12" borderId="0" xfId="0" applyFont="1" applyFill="1" applyAlignment="1">
      <alignment horizontal="left"/>
    </xf>
    <xf numFmtId="0" fontId="2" fillId="12" borderId="0" xfId="1" quotePrefix="1" applyFont="1" applyFill="1" applyAlignment="1">
      <alignment horizontal="center"/>
    </xf>
    <xf numFmtId="0" fontId="2" fillId="12" borderId="0" xfId="1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right"/>
    </xf>
    <xf numFmtId="0" fontId="2" fillId="13" borderId="0" xfId="0" applyFont="1" applyFill="1"/>
    <xf numFmtId="4" fontId="2" fillId="13" borderId="0" xfId="0" applyNumberFormat="1" applyFont="1" applyFill="1" applyAlignment="1">
      <alignment horizontal="right"/>
    </xf>
    <xf numFmtId="0" fontId="3" fillId="13" borderId="0" xfId="0" applyFont="1" applyFill="1" applyAlignment="1">
      <alignment horizontal="right"/>
    </xf>
    <xf numFmtId="0" fontId="5" fillId="13" borderId="0" xfId="0" applyFont="1" applyFill="1" applyAlignment="1">
      <alignment horizontal="right"/>
    </xf>
    <xf numFmtId="0" fontId="9" fillId="13" borderId="0" xfId="0" applyFont="1" applyFill="1" applyAlignment="1">
      <alignment horizontal="center"/>
    </xf>
    <xf numFmtId="0" fontId="2" fillId="13" borderId="0" xfId="1" applyFont="1" applyFill="1" applyAlignment="1">
      <alignment horizontal="center"/>
    </xf>
    <xf numFmtId="0" fontId="2" fillId="13" borderId="0" xfId="1" applyFont="1" applyFill="1" applyAlignment="1">
      <alignment horizontal="right"/>
    </xf>
    <xf numFmtId="4" fontId="2" fillId="13" borderId="0" xfId="1" applyNumberFormat="1" applyFont="1" applyFill="1" applyAlignment="1">
      <alignment horizontal="right"/>
    </xf>
    <xf numFmtId="2" fontId="2" fillId="13" borderId="0" xfId="0" applyNumberFormat="1" applyFont="1" applyFill="1"/>
    <xf numFmtId="0" fontId="3" fillId="13" borderId="0" xfId="0" applyFont="1" applyFill="1"/>
    <xf numFmtId="0" fontId="5" fillId="13" borderId="0" xfId="0" applyFont="1" applyFill="1" applyAlignment="1">
      <alignment horizontal="center"/>
    </xf>
    <xf numFmtId="4" fontId="2" fillId="13" borderId="0" xfId="0" applyNumberFormat="1" applyFont="1" applyFill="1"/>
    <xf numFmtId="0" fontId="17" fillId="13" borderId="0" xfId="0" applyFont="1" applyFill="1" applyAlignment="1">
      <alignment horizontal="center"/>
    </xf>
    <xf numFmtId="0" fontId="17" fillId="13" borderId="0" xfId="0" applyFont="1" applyFill="1" applyAlignment="1">
      <alignment horizontal="right"/>
    </xf>
    <xf numFmtId="0" fontId="2" fillId="13" borderId="0" xfId="0" applyFont="1" applyFill="1" applyAlignment="1">
      <alignment horizontal="left"/>
    </xf>
    <xf numFmtId="0" fontId="9" fillId="13" borderId="0" xfId="0" applyFont="1" applyFill="1" applyAlignment="1">
      <alignment horizontal="left"/>
    </xf>
    <xf numFmtId="0" fontId="2" fillId="13" borderId="0" xfId="1" quotePrefix="1" applyFont="1" applyFill="1" applyAlignment="1">
      <alignment horizontal="center"/>
    </xf>
    <xf numFmtId="0" fontId="2" fillId="13" borderId="0" xfId="1" quotePrefix="1" applyFont="1" applyFill="1" applyAlignment="1">
      <alignment horizontal="left"/>
    </xf>
    <xf numFmtId="0" fontId="2" fillId="13" borderId="0" xfId="1" applyFont="1" applyFill="1" applyAlignment="1">
      <alignment horizontal="left"/>
    </xf>
    <xf numFmtId="0" fontId="21" fillId="3" borderId="0" xfId="0" applyFont="1" applyFill="1"/>
    <xf numFmtId="0" fontId="21" fillId="6" borderId="0" xfId="0" applyFont="1" applyFill="1"/>
    <xf numFmtId="0" fontId="21" fillId="7" borderId="0" xfId="0" applyFont="1" applyFill="1"/>
    <xf numFmtId="0" fontId="21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1" fillId="4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4" fontId="2" fillId="12" borderId="0" xfId="0" applyNumberFormat="1" applyFont="1" applyFill="1"/>
    <xf numFmtId="0" fontId="21" fillId="5" borderId="0" xfId="0" applyFont="1" applyFill="1" applyAlignment="1">
      <alignment horizontal="left"/>
    </xf>
    <xf numFmtId="0" fontId="14" fillId="2" borderId="0" xfId="0" applyFont="1" applyFill="1"/>
    <xf numFmtId="0" fontId="21" fillId="2" borderId="0" xfId="0" applyFont="1" applyFill="1" applyAlignment="1">
      <alignment horizontal="left" vertical="center"/>
    </xf>
    <xf numFmtId="0" fontId="21" fillId="2" borderId="0" xfId="0" applyFont="1" applyFill="1"/>
    <xf numFmtId="0" fontId="14" fillId="2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0" fontId="13" fillId="7" borderId="0" xfId="0" applyFont="1" applyFill="1" applyAlignment="1">
      <alignment horizontal="right"/>
    </xf>
    <xf numFmtId="4" fontId="13" fillId="7" borderId="0" xfId="0" applyNumberFormat="1" applyFont="1" applyFill="1" applyAlignment="1">
      <alignment horizontal="right"/>
    </xf>
    <xf numFmtId="4" fontId="14" fillId="2" borderId="0" xfId="0" applyNumberFormat="1" applyFont="1" applyFill="1"/>
    <xf numFmtId="0" fontId="13" fillId="7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9" fillId="13" borderId="0" xfId="1" applyFont="1" applyFill="1" applyAlignment="1">
      <alignment horizontal="left" vertical="center"/>
    </xf>
    <xf numFmtId="0" fontId="9" fillId="12" borderId="0" xfId="1" quotePrefix="1" applyFont="1" applyFill="1" applyAlignment="1">
      <alignment horizontal="left" vertical="center"/>
    </xf>
    <xf numFmtId="0" fontId="21" fillId="3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9" fillId="14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2" fillId="14" borderId="0" xfId="0" applyFont="1" applyFill="1" applyAlignment="1">
      <alignment horizontal="center"/>
    </xf>
    <xf numFmtId="4" fontId="2" fillId="14" borderId="0" xfId="0" applyNumberFormat="1" applyFont="1" applyFill="1"/>
    <xf numFmtId="0" fontId="2" fillId="0" borderId="0" xfId="1" applyFont="1" applyAlignment="1">
      <alignment horizontal="left"/>
    </xf>
    <xf numFmtId="0" fontId="2" fillId="0" borderId="0" xfId="1" quotePrefix="1" applyFont="1" applyAlignment="1">
      <alignment horizontal="center"/>
    </xf>
    <xf numFmtId="0" fontId="9" fillId="0" borderId="0" xfId="0" applyFont="1" applyAlignment="1">
      <alignment horizontal="left"/>
    </xf>
    <xf numFmtId="0" fontId="9" fillId="14" borderId="0" xfId="1" quotePrefix="1" applyFont="1" applyFill="1" applyAlignment="1">
      <alignment horizontal="left" vertical="center"/>
    </xf>
    <xf numFmtId="2" fontId="22" fillId="12" borderId="0" xfId="0" applyNumberFormat="1" applyFont="1" applyFill="1"/>
    <xf numFmtId="4" fontId="22" fillId="12" borderId="0" xfId="0" applyNumberFormat="1" applyFont="1" applyFill="1"/>
    <xf numFmtId="4" fontId="22" fillId="13" borderId="0" xfId="0" applyNumberFormat="1" applyFont="1" applyFill="1"/>
    <xf numFmtId="0" fontId="21" fillId="4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/>
    </xf>
    <xf numFmtId="0" fontId="2" fillId="13" borderId="0" xfId="0" applyFont="1" applyFill="1" applyAlignment="1">
      <alignment horizontal="left" wrapText="1"/>
    </xf>
    <xf numFmtId="0" fontId="2" fillId="12" borderId="0" xfId="0" applyFont="1" applyFill="1" applyAlignment="1">
      <alignment horizontal="left" wrapText="1"/>
    </xf>
    <xf numFmtId="0" fontId="13" fillId="2" borderId="0" xfId="0" applyFont="1" applyFill="1"/>
    <xf numFmtId="49" fontId="2" fillId="12" borderId="0" xfId="0" applyNumberFormat="1" applyFont="1" applyFill="1" applyAlignment="1">
      <alignment horizontal="left"/>
    </xf>
    <xf numFmtId="49" fontId="2" fillId="13" borderId="0" xfId="0" applyNumberFormat="1" applyFont="1" applyFill="1" applyAlignment="1">
      <alignment horizontal="left"/>
    </xf>
    <xf numFmtId="4" fontId="22" fillId="13" borderId="0" xfId="0" applyNumberFormat="1" applyFont="1" applyFill="1" applyAlignment="1">
      <alignment horizontal="right"/>
    </xf>
    <xf numFmtId="4" fontId="22" fillId="12" borderId="0" xfId="0" applyNumberFormat="1" applyFont="1" applyFill="1" applyAlignment="1">
      <alignment horizontal="right"/>
    </xf>
    <xf numFmtId="2" fontId="22" fillId="13" borderId="0" xfId="0" applyNumberFormat="1" applyFont="1" applyFill="1"/>
    <xf numFmtId="0" fontId="2" fillId="13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4" fontId="22" fillId="0" borderId="0" xfId="0" applyNumberFormat="1" applyFont="1"/>
    <xf numFmtId="0" fontId="14" fillId="13" borderId="0" xfId="0" applyFont="1" applyFill="1"/>
    <xf numFmtId="0" fontId="13" fillId="12" borderId="0" xfId="0" applyFont="1" applyFill="1" applyAlignment="1">
      <alignment horizontal="right"/>
    </xf>
    <xf numFmtId="0" fontId="13" fillId="1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/>
    </xf>
    <xf numFmtId="0" fontId="2" fillId="14" borderId="0" xfId="0" applyFont="1" applyFill="1"/>
    <xf numFmtId="0" fontId="25" fillId="13" borderId="0" xfId="0" applyFont="1" applyFill="1" applyAlignment="1">
      <alignment horizontal="center"/>
    </xf>
    <xf numFmtId="4" fontId="22" fillId="14" borderId="0" xfId="0" applyNumberFormat="1" applyFont="1" applyFill="1"/>
    <xf numFmtId="0" fontId="2" fillId="14" borderId="0" xfId="0" applyFont="1" applyFill="1" applyAlignment="1">
      <alignment horizontal="right"/>
    </xf>
    <xf numFmtId="2" fontId="26" fillId="14" borderId="0" xfId="0" applyNumberFormat="1" applyFont="1" applyFill="1"/>
    <xf numFmtId="0" fontId="23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18" fillId="14" borderId="0" xfId="0" applyFont="1" applyFill="1"/>
    <xf numFmtId="4" fontId="26" fillId="13" borderId="0" xfId="0" applyNumberFormat="1" applyFont="1" applyFill="1"/>
    <xf numFmtId="0" fontId="22" fillId="0" borderId="0" xfId="0" applyFont="1"/>
    <xf numFmtId="0" fontId="22" fillId="0" borderId="0" xfId="0" applyFont="1" applyAlignment="1">
      <alignment vertical="center"/>
    </xf>
    <xf numFmtId="0" fontId="18" fillId="2" borderId="0" xfId="0" applyFont="1" applyFill="1"/>
    <xf numFmtId="2" fontId="2" fillId="14" borderId="0" xfId="0" applyNumberFormat="1" applyFont="1" applyFill="1"/>
    <xf numFmtId="0" fontId="29" fillId="13" borderId="0" xfId="0" applyFont="1" applyFill="1" applyAlignment="1">
      <alignment horizontal="left"/>
    </xf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horizontal="right"/>
    </xf>
    <xf numFmtId="0" fontId="2" fillId="15" borderId="0" xfId="0" applyFont="1" applyFill="1" applyAlignment="1">
      <alignment horizontal="left"/>
    </xf>
    <xf numFmtId="2" fontId="2" fillId="15" borderId="0" xfId="0" applyNumberFormat="1" applyFont="1" applyFill="1"/>
    <xf numFmtId="0" fontId="26" fillId="0" borderId="0" xfId="0" applyFont="1"/>
    <xf numFmtId="0" fontId="21" fillId="7" borderId="0" xfId="0" applyFont="1" applyFill="1" applyAlignment="1">
      <alignment horizontal="left"/>
    </xf>
    <xf numFmtId="49" fontId="2" fillId="12" borderId="0" xfId="1" applyNumberFormat="1" applyFont="1" applyFill="1" applyAlignment="1">
      <alignment horizontal="center"/>
    </xf>
    <xf numFmtId="0" fontId="21" fillId="5" borderId="0" xfId="0" applyFont="1" applyFill="1" applyAlignment="1">
      <alignment horizontal="left"/>
    </xf>
    <xf numFmtId="0" fontId="13" fillId="2" borderId="0" xfId="0" applyFont="1" applyFill="1" applyAlignment="1">
      <alignment horizontal="right"/>
    </xf>
    <xf numFmtId="0" fontId="6" fillId="0" borderId="0" xfId="0" applyFont="1" applyAlignment="1">
      <alignment horizontal="center" vertical="center"/>
    </xf>
    <xf numFmtId="0" fontId="21" fillId="3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13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2" fillId="13" borderId="0" xfId="0" applyFont="1" applyFill="1" applyAlignment="1">
      <alignment horizontal="left" wrapText="1"/>
    </xf>
    <xf numFmtId="0" fontId="2" fillId="13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7" fillId="14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3" fillId="7" borderId="0" xfId="0" applyFont="1" applyFill="1" applyAlignment="1">
      <alignment horizontal="left"/>
    </xf>
    <xf numFmtId="0" fontId="2" fillId="1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/>
    </xf>
  </cellXfs>
  <cellStyles count="2">
    <cellStyle name="Standaard" xfId="0" builtinId="0"/>
    <cellStyle name="Standaard 2" xfId="1" xr:uid="{A567AD04-42D7-4335-8E0B-BA60CE048B4A}"/>
  </cellStyles>
  <dxfs count="0"/>
  <tableStyles count="1" defaultTableStyle="TableStyleMedium2" defaultPivotStyle="PivotStyleLight16">
    <tableStyle name="Invisible" pivot="0" table="0" count="0" xr9:uid="{F4C60F65-F454-4DCC-814E-E2A6963456D3}"/>
  </tableStyles>
  <colors>
    <mruColors>
      <color rgb="FFD3D3D3"/>
      <color rgb="FFC1EFFF"/>
      <color rgb="FFFFD9E8"/>
      <color rgb="FFEDDBC9"/>
      <color rgb="FFD3F5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2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</xdr:rowOff>
    </xdr:from>
    <xdr:to>
      <xdr:col>7</xdr:col>
      <xdr:colOff>0</xdr:colOff>
      <xdr:row>4</xdr:row>
      <xdr:rowOff>1905</xdr:rowOff>
    </xdr:to>
    <xdr:sp macro="" textlink="">
      <xdr:nvSpPr>
        <xdr:cNvPr id="4" name="TextBox 17">
          <a:extLst>
            <a:ext uri="{FF2B5EF4-FFF2-40B4-BE49-F238E27FC236}">
              <a16:creationId xmlns:a16="http://schemas.microsoft.com/office/drawing/2014/main" id="{13E047C7-0C59-2B49-6682-59B2566647D1}"/>
            </a:ext>
          </a:extLst>
        </xdr:cNvPr>
        <xdr:cNvSpPr txBox="1"/>
      </xdr:nvSpPr>
      <xdr:spPr bwMode="auto">
        <a:xfrm>
          <a:off x="0" y="7620"/>
          <a:ext cx="6545580" cy="64008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85725</xdr:rowOff>
    </xdr:from>
    <xdr:to>
      <xdr:col>2</xdr:col>
      <xdr:colOff>771525</xdr:colOff>
      <xdr:row>4</xdr:row>
      <xdr:rowOff>0</xdr:rowOff>
    </xdr:to>
    <xdr:pic>
      <xdr:nvPicPr>
        <xdr:cNvPr id="601447" name="Afbeelding 21">
          <a:extLst>
            <a:ext uri="{FF2B5EF4-FFF2-40B4-BE49-F238E27FC236}">
              <a16:creationId xmlns:a16="http://schemas.microsoft.com/office/drawing/2014/main" id="{CD0D4BD4-1E57-8203-7597-7A239B6A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5725"/>
          <a:ext cx="2247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602806" name="Afbeelding 10">
          <a:extLst>
            <a:ext uri="{FF2B5EF4-FFF2-40B4-BE49-F238E27FC236}">
              <a16:creationId xmlns:a16="http://schemas.microsoft.com/office/drawing/2014/main" id="{AB7CB2EB-6C0D-F48C-2F9E-4C6F29D93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7</xdr:col>
      <xdr:colOff>0</xdr:colOff>
      <xdr:row>4</xdr:row>
      <xdr:rowOff>7650</xdr:rowOff>
    </xdr:to>
    <xdr:sp macro="" textlink="">
      <xdr:nvSpPr>
        <xdr:cNvPr id="60" name="TextBox 17">
          <a:extLst>
            <a:ext uri="{FF2B5EF4-FFF2-40B4-BE49-F238E27FC236}">
              <a16:creationId xmlns:a16="http://schemas.microsoft.com/office/drawing/2014/main" id="{574EEA5F-173E-2379-E37C-DEC2B316AEC1}"/>
            </a:ext>
          </a:extLst>
        </xdr:cNvPr>
        <xdr:cNvSpPr txBox="1"/>
      </xdr:nvSpPr>
      <xdr:spPr bwMode="auto">
        <a:xfrm>
          <a:off x="0" y="7620"/>
          <a:ext cx="6545580" cy="62484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2</xdr:col>
      <xdr:colOff>771525</xdr:colOff>
      <xdr:row>4</xdr:row>
      <xdr:rowOff>0</xdr:rowOff>
    </xdr:to>
    <xdr:pic>
      <xdr:nvPicPr>
        <xdr:cNvPr id="602808" name="Afbeelding 34">
          <a:extLst>
            <a:ext uri="{FF2B5EF4-FFF2-40B4-BE49-F238E27FC236}">
              <a16:creationId xmlns:a16="http://schemas.microsoft.com/office/drawing/2014/main" id="{6F996D0A-FE26-CB35-1E8C-EE52F664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4775"/>
          <a:ext cx="22764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1114425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581272" name="Afbeelding 10">
          <a:extLst>
            <a:ext uri="{FF2B5EF4-FFF2-40B4-BE49-F238E27FC236}">
              <a16:creationId xmlns:a16="http://schemas.microsoft.com/office/drawing/2014/main" id="{BA972F37-D2EE-18FB-4D80-A10BDD663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9525"/>
          <a:ext cx="247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1902</xdr:colOff>
      <xdr:row>3</xdr:row>
      <xdr:rowOff>123973</xdr:rowOff>
    </xdr:to>
    <xdr:sp macro="" textlink="">
      <xdr:nvSpPr>
        <xdr:cNvPr id="13" name="TextBox 17">
          <a:extLst>
            <a:ext uri="{FF2B5EF4-FFF2-40B4-BE49-F238E27FC236}">
              <a16:creationId xmlns:a16="http://schemas.microsoft.com/office/drawing/2014/main" id="{A2E06CFF-538D-6C6A-BC7D-B355DCCF8F37}"/>
            </a:ext>
          </a:extLst>
        </xdr:cNvPr>
        <xdr:cNvSpPr txBox="1"/>
      </xdr:nvSpPr>
      <xdr:spPr bwMode="auto">
        <a:xfrm>
          <a:off x="0" y="0"/>
          <a:ext cx="6555102" cy="63246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809625</xdr:colOff>
      <xdr:row>4</xdr:row>
      <xdr:rowOff>0</xdr:rowOff>
    </xdr:to>
    <xdr:pic>
      <xdr:nvPicPr>
        <xdr:cNvPr id="581274" name="Afbeelding 34">
          <a:extLst>
            <a:ext uri="{FF2B5EF4-FFF2-40B4-BE49-F238E27FC236}">
              <a16:creationId xmlns:a16="http://schemas.microsoft.com/office/drawing/2014/main" id="{E6B97815-9328-8CF3-F5D1-B0312C09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22860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38100</xdr:rowOff>
    </xdr:to>
    <xdr:pic>
      <xdr:nvPicPr>
        <xdr:cNvPr id="606808" name="Afbeelding 40">
          <a:extLst>
            <a:ext uri="{FF2B5EF4-FFF2-40B4-BE49-F238E27FC236}">
              <a16:creationId xmlns:a16="http://schemas.microsoft.com/office/drawing/2014/main" id="{5546A526-97F3-DD79-9035-091767D27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9525"/>
          <a:ext cx="228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7</xdr:col>
      <xdr:colOff>0</xdr:colOff>
      <xdr:row>4</xdr:row>
      <xdr:rowOff>7650</xdr:rowOff>
    </xdr:to>
    <xdr:sp macro="" textlink="">
      <xdr:nvSpPr>
        <xdr:cNvPr id="43" name="TextBox 17">
          <a:extLst>
            <a:ext uri="{FF2B5EF4-FFF2-40B4-BE49-F238E27FC236}">
              <a16:creationId xmlns:a16="http://schemas.microsoft.com/office/drawing/2014/main" id="{9FFB08F1-2EF6-0521-E061-BECDD4013D21}"/>
            </a:ext>
          </a:extLst>
        </xdr:cNvPr>
        <xdr:cNvSpPr txBox="1"/>
      </xdr:nvSpPr>
      <xdr:spPr bwMode="auto">
        <a:xfrm>
          <a:off x="0" y="7620"/>
          <a:ext cx="6545580" cy="62484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771525</xdr:colOff>
      <xdr:row>4</xdr:row>
      <xdr:rowOff>0</xdr:rowOff>
    </xdr:to>
    <xdr:pic>
      <xdr:nvPicPr>
        <xdr:cNvPr id="606810" name="Afbeelding 34">
          <a:extLst>
            <a:ext uri="{FF2B5EF4-FFF2-40B4-BE49-F238E27FC236}">
              <a16:creationId xmlns:a16="http://schemas.microsoft.com/office/drawing/2014/main" id="{BAA05E03-4D66-EC58-52C1-06286233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2247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47625</xdr:rowOff>
    </xdr:to>
    <xdr:pic>
      <xdr:nvPicPr>
        <xdr:cNvPr id="610540" name="Afbeelding 20">
          <a:extLst>
            <a:ext uri="{FF2B5EF4-FFF2-40B4-BE49-F238E27FC236}">
              <a16:creationId xmlns:a16="http://schemas.microsoft.com/office/drawing/2014/main" id="{952EA7CF-DCE2-C823-16E8-EFC2B8CEB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5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47625</xdr:rowOff>
    </xdr:to>
    <xdr:pic>
      <xdr:nvPicPr>
        <xdr:cNvPr id="610541" name="Afbeelding 31">
          <a:extLst>
            <a:ext uri="{FF2B5EF4-FFF2-40B4-BE49-F238E27FC236}">
              <a16:creationId xmlns:a16="http://schemas.microsoft.com/office/drawing/2014/main" id="{D2388EAD-9658-A2F8-E63E-8789572D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5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7</xdr:col>
      <xdr:colOff>0</xdr:colOff>
      <xdr:row>4</xdr:row>
      <xdr:rowOff>69</xdr:rowOff>
    </xdr:to>
    <xdr:sp macro="" textlink="">
      <xdr:nvSpPr>
        <xdr:cNvPr id="34" name="TextBox 17">
          <a:extLst>
            <a:ext uri="{FF2B5EF4-FFF2-40B4-BE49-F238E27FC236}">
              <a16:creationId xmlns:a16="http://schemas.microsoft.com/office/drawing/2014/main" id="{50E2499A-667E-4EF4-00F2-6EF66C0F28D4}"/>
            </a:ext>
          </a:extLst>
        </xdr:cNvPr>
        <xdr:cNvSpPr txBox="1"/>
      </xdr:nvSpPr>
      <xdr:spPr bwMode="auto">
        <a:xfrm>
          <a:off x="0" y="7620"/>
          <a:ext cx="6553200" cy="63246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771525</xdr:colOff>
      <xdr:row>4</xdr:row>
      <xdr:rowOff>0</xdr:rowOff>
    </xdr:to>
    <xdr:pic>
      <xdr:nvPicPr>
        <xdr:cNvPr id="610543" name="Afbeelding 34">
          <a:extLst>
            <a:ext uri="{FF2B5EF4-FFF2-40B4-BE49-F238E27FC236}">
              <a16:creationId xmlns:a16="http://schemas.microsoft.com/office/drawing/2014/main" id="{5195AEFF-6CDC-34C7-3CB8-585C5041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2247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173</xdr:row>
      <xdr:rowOff>9525</xdr:rowOff>
    </xdr:from>
    <xdr:to>
      <xdr:col>7</xdr:col>
      <xdr:colOff>0</xdr:colOff>
      <xdr:row>176</xdr:row>
      <xdr:rowOff>19050</xdr:rowOff>
    </xdr:to>
    <xdr:pic>
      <xdr:nvPicPr>
        <xdr:cNvPr id="612720" name="Afbeelding 30">
          <a:extLst>
            <a:ext uri="{FF2B5EF4-FFF2-40B4-BE49-F238E27FC236}">
              <a16:creationId xmlns:a16="http://schemas.microsoft.com/office/drawing/2014/main" id="{50E9AC27-91C0-B855-9BF7-DEECF809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8079700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173</xdr:row>
      <xdr:rowOff>19050</xdr:rowOff>
    </xdr:from>
    <xdr:to>
      <xdr:col>6</xdr:col>
      <xdr:colOff>3028950</xdr:colOff>
      <xdr:row>176</xdr:row>
      <xdr:rowOff>228600</xdr:rowOff>
    </xdr:to>
    <xdr:grpSp>
      <xdr:nvGrpSpPr>
        <xdr:cNvPr id="612721" name="Groep 31">
          <a:extLst>
            <a:ext uri="{FF2B5EF4-FFF2-40B4-BE49-F238E27FC236}">
              <a16:creationId xmlns:a16="http://schemas.microsoft.com/office/drawing/2014/main" id="{8D5C09F6-E68D-4888-07E3-743120F887EF}"/>
            </a:ext>
          </a:extLst>
        </xdr:cNvPr>
        <xdr:cNvGrpSpPr>
          <a:grpSpLocks/>
        </xdr:cNvGrpSpPr>
      </xdr:nvGrpSpPr>
      <xdr:grpSpPr bwMode="auto">
        <a:xfrm>
          <a:off x="0" y="28089225"/>
          <a:ext cx="6353175" cy="628650"/>
          <a:chOff x="0" y="9355"/>
          <a:chExt cx="5581649" cy="523875"/>
        </a:xfrm>
      </xdr:grpSpPr>
      <xdr:sp macro="" textlink="">
        <xdr:nvSpPr>
          <xdr:cNvPr id="33" name="TextBox 17">
            <a:extLst>
              <a:ext uri="{FF2B5EF4-FFF2-40B4-BE49-F238E27FC236}">
                <a16:creationId xmlns:a16="http://schemas.microsoft.com/office/drawing/2014/main" id="{327A4912-32CA-FC5B-633F-AC12EAE0A18A}"/>
              </a:ext>
            </a:extLst>
          </xdr:cNvPr>
          <xdr:cNvSpPr txBox="1"/>
        </xdr:nvSpPr>
        <xdr:spPr>
          <a:xfrm>
            <a:off x="0" y="9355"/>
            <a:ext cx="5581649" cy="523875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  <a:effectLst/>
        </xdr:spPr>
        <xdr:txBody>
          <a:bodyPr wrap="square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1pPr>
            <a:lvl2pPr marL="503238" indent="-46038" algn="l" rtl="0" eaLnBrk="0" fontAlgn="base" hangingPunct="0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2pPr>
            <a:lvl3pPr marL="1008063" indent="-93663" algn="l" rtl="0" eaLnBrk="0" fontAlgn="base" hangingPunct="0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3pPr>
            <a:lvl4pPr marL="1512888" indent="-141288" algn="l" rtl="0" eaLnBrk="0" fontAlgn="base" hangingPunct="0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4pPr>
            <a:lvl5pPr marL="2017713" indent="-188913" algn="l" rtl="0" eaLnBrk="0" fontAlgn="base" hangingPunct="0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tx1"/>
                </a:solidFill>
                <a:latin typeface="Arial" charset="0"/>
                <a:ea typeface="ＭＳ Ｐゴシック" pitchFamily="34" charset="-128"/>
                <a:cs typeface="+mn-cs"/>
              </a:defRPr>
            </a:lvl9pPr>
          </a:lstStyle>
          <a:p>
            <a:pPr algn="ctr">
              <a:defRPr/>
            </a:pPr>
            <a:endParaRPr lang="en-US" sz="280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Verdana"/>
              <a:ea typeface="MS PGothic" charset="0"/>
              <a:cs typeface="Verdana"/>
            </a:endParaRPr>
          </a:p>
        </xdr:txBody>
      </xdr:sp>
      <xdr:pic>
        <xdr:nvPicPr>
          <xdr:cNvPr id="612727" name="Picture 2">
            <a:extLst>
              <a:ext uri="{FF2B5EF4-FFF2-40B4-BE49-F238E27FC236}">
                <a16:creationId xmlns:a16="http://schemas.microsoft.com/office/drawing/2014/main" id="{117A6980-46EC-2D19-796F-51EE26AF02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9355"/>
            <a:ext cx="1644276" cy="3648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612728" name="Groep 5">
            <a:extLst>
              <a:ext uri="{FF2B5EF4-FFF2-40B4-BE49-F238E27FC236}">
                <a16:creationId xmlns:a16="http://schemas.microsoft.com/office/drawing/2014/main" id="{98C7CCA5-CA0A-EA6A-0AD5-2013E21E3FE2}"/>
              </a:ext>
            </a:extLst>
          </xdr:cNvPr>
          <xdr:cNvGrpSpPr>
            <a:grpSpLocks/>
          </xdr:cNvGrpSpPr>
        </xdr:nvGrpSpPr>
        <xdr:grpSpPr bwMode="auto">
          <a:xfrm>
            <a:off x="47625" y="390525"/>
            <a:ext cx="1600200" cy="47625"/>
            <a:chOff x="3364624" y="5738348"/>
            <a:chExt cx="1366847" cy="276233"/>
          </a:xfrm>
        </xdr:grpSpPr>
        <xdr:pic>
          <xdr:nvPicPr>
            <xdr:cNvPr id="612730" name="Afbeelding 6">
              <a:extLst>
                <a:ext uri="{FF2B5EF4-FFF2-40B4-BE49-F238E27FC236}">
                  <a16:creationId xmlns:a16="http://schemas.microsoft.com/office/drawing/2014/main" id="{2AFEE306-F75D-E722-F3B8-69911EECFC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364624" y="5738356"/>
              <a:ext cx="378934" cy="2762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612731" name="Afbeelding 7">
              <a:extLst>
                <a:ext uri="{FF2B5EF4-FFF2-40B4-BE49-F238E27FC236}">
                  <a16:creationId xmlns:a16="http://schemas.microsoft.com/office/drawing/2014/main" id="{E7B335B5-3E06-6A59-4224-904675B25A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713712" y="5738356"/>
              <a:ext cx="334770" cy="2762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612732" name="Afbeelding 8">
              <a:extLst>
                <a:ext uri="{FF2B5EF4-FFF2-40B4-BE49-F238E27FC236}">
                  <a16:creationId xmlns:a16="http://schemas.microsoft.com/office/drawing/2014/main" id="{B3338962-09CD-F23D-2E58-3E93196CE4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48481" y="5738348"/>
              <a:ext cx="334768" cy="2762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612733" name="Afbeelding 9">
              <a:extLst>
                <a:ext uri="{FF2B5EF4-FFF2-40B4-BE49-F238E27FC236}">
                  <a16:creationId xmlns:a16="http://schemas.microsoft.com/office/drawing/2014/main" id="{1FF023F8-39FE-F22D-93C6-B488F6CEB7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383249" y="5738356"/>
              <a:ext cx="348222" cy="2762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612729" name="Afbeelding 10">
            <a:extLst>
              <a:ext uri="{FF2B5EF4-FFF2-40B4-BE49-F238E27FC236}">
                <a16:creationId xmlns:a16="http://schemas.microsoft.com/office/drawing/2014/main" id="{AF2B5EB1-1B02-59B9-814E-2C66AD264A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2525" y="9525"/>
            <a:ext cx="581025" cy="495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612722" name="Afbeelding 20">
          <a:extLst>
            <a:ext uri="{FF2B5EF4-FFF2-40B4-BE49-F238E27FC236}">
              <a16:creationId xmlns:a16="http://schemas.microsoft.com/office/drawing/2014/main" id="{12FA0FB8-80CC-73D2-90DF-5AF7E3D9D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612723" name="Afbeelding 34">
          <a:extLst>
            <a:ext uri="{FF2B5EF4-FFF2-40B4-BE49-F238E27FC236}">
              <a16:creationId xmlns:a16="http://schemas.microsoft.com/office/drawing/2014/main" id="{484D9985-D2E1-09AF-5944-7CC79CFF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7</xdr:col>
      <xdr:colOff>0</xdr:colOff>
      <xdr:row>4</xdr:row>
      <xdr:rowOff>7650</xdr:rowOff>
    </xdr:to>
    <xdr:sp macro="" textlink="">
      <xdr:nvSpPr>
        <xdr:cNvPr id="37" name="TextBox 17">
          <a:extLst>
            <a:ext uri="{FF2B5EF4-FFF2-40B4-BE49-F238E27FC236}">
              <a16:creationId xmlns:a16="http://schemas.microsoft.com/office/drawing/2014/main" id="{8B26B587-1BDC-4A5B-9CAF-A9550B9D3D9A}"/>
            </a:ext>
          </a:extLst>
        </xdr:cNvPr>
        <xdr:cNvSpPr txBox="1"/>
      </xdr:nvSpPr>
      <xdr:spPr bwMode="auto">
        <a:xfrm>
          <a:off x="0" y="7620"/>
          <a:ext cx="6545580" cy="62484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2</xdr:col>
      <xdr:colOff>771525</xdr:colOff>
      <xdr:row>4</xdr:row>
      <xdr:rowOff>0</xdr:rowOff>
    </xdr:to>
    <xdr:pic>
      <xdr:nvPicPr>
        <xdr:cNvPr id="612725" name="Afbeelding 22">
          <a:extLst>
            <a:ext uri="{FF2B5EF4-FFF2-40B4-BE49-F238E27FC236}">
              <a16:creationId xmlns:a16="http://schemas.microsoft.com/office/drawing/2014/main" id="{042023DF-33F1-EC72-1C83-0AD2F3D04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4775"/>
          <a:ext cx="22764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1114425</xdr:colOff>
      <xdr:row>0</xdr:row>
      <xdr:rowOff>9525</xdr:rowOff>
    </xdr:from>
    <xdr:to>
      <xdr:col>7</xdr:col>
      <xdr:colOff>0</xdr:colOff>
      <xdr:row>3</xdr:row>
      <xdr:rowOff>47625</xdr:rowOff>
    </xdr:to>
    <xdr:pic>
      <xdr:nvPicPr>
        <xdr:cNvPr id="593897" name="Afbeelding 20">
          <a:extLst>
            <a:ext uri="{FF2B5EF4-FFF2-40B4-BE49-F238E27FC236}">
              <a16:creationId xmlns:a16="http://schemas.microsoft.com/office/drawing/2014/main" id="{DCC57298-5F8E-D131-D69C-C0B8164CD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9525"/>
          <a:ext cx="2476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1114425</xdr:colOff>
      <xdr:row>0</xdr:row>
      <xdr:rowOff>9525</xdr:rowOff>
    </xdr:from>
    <xdr:to>
      <xdr:col>7</xdr:col>
      <xdr:colOff>0</xdr:colOff>
      <xdr:row>3</xdr:row>
      <xdr:rowOff>47625</xdr:rowOff>
    </xdr:to>
    <xdr:pic>
      <xdr:nvPicPr>
        <xdr:cNvPr id="593898" name="Afbeelding 31">
          <a:extLst>
            <a:ext uri="{FF2B5EF4-FFF2-40B4-BE49-F238E27FC236}">
              <a16:creationId xmlns:a16="http://schemas.microsoft.com/office/drawing/2014/main" id="{70FAC094-C29D-A657-632D-260D2A1E0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9525"/>
          <a:ext cx="2476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7</xdr:col>
      <xdr:colOff>1902</xdr:colOff>
      <xdr:row>4</xdr:row>
      <xdr:rowOff>7650</xdr:rowOff>
    </xdr:to>
    <xdr:sp macro="" textlink="">
      <xdr:nvSpPr>
        <xdr:cNvPr id="34" name="TextBox 17">
          <a:extLst>
            <a:ext uri="{FF2B5EF4-FFF2-40B4-BE49-F238E27FC236}">
              <a16:creationId xmlns:a16="http://schemas.microsoft.com/office/drawing/2014/main" id="{3AFAFB56-C8CC-1B6F-309F-D6F6F62A0921}"/>
            </a:ext>
          </a:extLst>
        </xdr:cNvPr>
        <xdr:cNvSpPr txBox="1"/>
      </xdr:nvSpPr>
      <xdr:spPr bwMode="auto">
        <a:xfrm>
          <a:off x="0" y="7620"/>
          <a:ext cx="6555102" cy="62484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257175</xdr:colOff>
      <xdr:row>0</xdr:row>
      <xdr:rowOff>66675</xdr:rowOff>
    </xdr:from>
    <xdr:to>
      <xdr:col>2</xdr:col>
      <xdr:colOff>809625</xdr:colOff>
      <xdr:row>3</xdr:row>
      <xdr:rowOff>114300</xdr:rowOff>
    </xdr:to>
    <xdr:pic>
      <xdr:nvPicPr>
        <xdr:cNvPr id="593900" name="Afbeelding 2">
          <a:extLst>
            <a:ext uri="{FF2B5EF4-FFF2-40B4-BE49-F238E27FC236}">
              <a16:creationId xmlns:a16="http://schemas.microsoft.com/office/drawing/2014/main" id="{55AFE3C1-FE48-E1B0-C663-0C78C149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66675"/>
          <a:ext cx="22383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594464" name="Afbeelding 20">
          <a:extLst>
            <a:ext uri="{FF2B5EF4-FFF2-40B4-BE49-F238E27FC236}">
              <a16:creationId xmlns:a16="http://schemas.microsoft.com/office/drawing/2014/main" id="{87395369-C6F9-1557-6BC6-0285D5FE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594465" name="Afbeelding 22">
          <a:extLst>
            <a:ext uri="{FF2B5EF4-FFF2-40B4-BE49-F238E27FC236}">
              <a16:creationId xmlns:a16="http://schemas.microsoft.com/office/drawing/2014/main" id="{DBEEBAA5-AD35-CFF5-A08D-1121A9FE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3</xdr:row>
      <xdr:rowOff>125410</xdr:rowOff>
    </xdr:to>
    <xdr:sp macro="" textlink="">
      <xdr:nvSpPr>
        <xdr:cNvPr id="25" name="TextBox 17">
          <a:extLst>
            <a:ext uri="{FF2B5EF4-FFF2-40B4-BE49-F238E27FC236}">
              <a16:creationId xmlns:a16="http://schemas.microsoft.com/office/drawing/2014/main" id="{431AFDC0-7BFC-1A4E-294A-58573D4B4D4F}"/>
            </a:ext>
          </a:extLst>
        </xdr:cNvPr>
        <xdr:cNvSpPr txBox="1"/>
      </xdr:nvSpPr>
      <xdr:spPr bwMode="auto">
        <a:xfrm>
          <a:off x="0" y="0"/>
          <a:ext cx="6553200" cy="62484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85725</xdr:rowOff>
    </xdr:from>
    <xdr:to>
      <xdr:col>2</xdr:col>
      <xdr:colOff>733425</xdr:colOff>
      <xdr:row>4</xdr:row>
      <xdr:rowOff>0</xdr:rowOff>
    </xdr:to>
    <xdr:pic>
      <xdr:nvPicPr>
        <xdr:cNvPr id="594467" name="Afbeelding 12">
          <a:extLst>
            <a:ext uri="{FF2B5EF4-FFF2-40B4-BE49-F238E27FC236}">
              <a16:creationId xmlns:a16="http://schemas.microsoft.com/office/drawing/2014/main" id="{E37A95F4-1ADE-DFDB-48DD-0F8B22BEA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5725"/>
          <a:ext cx="2247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609912" name="Afbeelding 20">
          <a:extLst>
            <a:ext uri="{FF2B5EF4-FFF2-40B4-BE49-F238E27FC236}">
              <a16:creationId xmlns:a16="http://schemas.microsoft.com/office/drawing/2014/main" id="{A770CFEB-B3EF-08F7-0D74-D7BCEC676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1123950</xdr:colOff>
      <xdr:row>0</xdr:row>
      <xdr:rowOff>9525</xdr:rowOff>
    </xdr:from>
    <xdr:to>
      <xdr:col>7</xdr:col>
      <xdr:colOff>0</xdr:colOff>
      <xdr:row>3</xdr:row>
      <xdr:rowOff>19050</xdr:rowOff>
    </xdr:to>
    <xdr:pic>
      <xdr:nvPicPr>
        <xdr:cNvPr id="609913" name="Afbeelding 40">
          <a:extLst>
            <a:ext uri="{FF2B5EF4-FFF2-40B4-BE49-F238E27FC236}">
              <a16:creationId xmlns:a16="http://schemas.microsoft.com/office/drawing/2014/main" id="{36E8E4C4-821D-B54F-9170-A3E486B6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49530</xdr:rowOff>
    </xdr:from>
    <xdr:to>
      <xdr:col>7</xdr:col>
      <xdr:colOff>0</xdr:colOff>
      <xdr:row>3</xdr:row>
      <xdr:rowOff>152400</xdr:rowOff>
    </xdr:to>
    <xdr:sp macro="" textlink="">
      <xdr:nvSpPr>
        <xdr:cNvPr id="43" name="TextBox 17">
          <a:extLst>
            <a:ext uri="{FF2B5EF4-FFF2-40B4-BE49-F238E27FC236}">
              <a16:creationId xmlns:a16="http://schemas.microsoft.com/office/drawing/2014/main" id="{F32E2FB7-C0D4-DB49-C407-C6D8C11CD6F1}"/>
            </a:ext>
          </a:extLst>
        </xdr:cNvPr>
        <xdr:cNvSpPr txBox="1"/>
      </xdr:nvSpPr>
      <xdr:spPr bwMode="auto">
        <a:xfrm>
          <a:off x="0" y="49530"/>
          <a:ext cx="6581775" cy="58864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95250</xdr:rowOff>
    </xdr:from>
    <xdr:to>
      <xdr:col>3</xdr:col>
      <xdr:colOff>266700</xdr:colOff>
      <xdr:row>3</xdr:row>
      <xdr:rowOff>104775</xdr:rowOff>
    </xdr:to>
    <xdr:pic>
      <xdr:nvPicPr>
        <xdr:cNvPr id="609915" name="Afbeelding 47">
          <a:extLst>
            <a:ext uri="{FF2B5EF4-FFF2-40B4-BE49-F238E27FC236}">
              <a16:creationId xmlns:a16="http://schemas.microsoft.com/office/drawing/2014/main" id="{4D90D828-539F-21E7-654D-37B0894A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18192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2124075</xdr:colOff>
      <xdr:row>0</xdr:row>
      <xdr:rowOff>104775</xdr:rowOff>
    </xdr:from>
    <xdr:to>
      <xdr:col>5</xdr:col>
      <xdr:colOff>3971925</xdr:colOff>
      <xdr:row>3</xdr:row>
      <xdr:rowOff>142875</xdr:rowOff>
    </xdr:to>
    <xdr:pic>
      <xdr:nvPicPr>
        <xdr:cNvPr id="608541" name="Afbeelding 10">
          <a:extLst>
            <a:ext uri="{FF2B5EF4-FFF2-40B4-BE49-F238E27FC236}">
              <a16:creationId xmlns:a16="http://schemas.microsoft.com/office/drawing/2014/main" id="{09506CB4-7AF5-C190-7525-3DB9DDC1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04775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1123950</xdr:colOff>
      <xdr:row>0</xdr:row>
      <xdr:rowOff>9525</xdr:rowOff>
    </xdr:from>
    <xdr:to>
      <xdr:col>6</xdr:col>
      <xdr:colOff>114300</xdr:colOff>
      <xdr:row>3</xdr:row>
      <xdr:rowOff>19050</xdr:rowOff>
    </xdr:to>
    <xdr:pic>
      <xdr:nvPicPr>
        <xdr:cNvPr id="608542" name="Afbeelding 20">
          <a:extLst>
            <a:ext uri="{FF2B5EF4-FFF2-40B4-BE49-F238E27FC236}">
              <a16:creationId xmlns:a16="http://schemas.microsoft.com/office/drawing/2014/main" id="{F4F6301B-7453-68CE-0BF0-5E0CF67A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1123950</xdr:colOff>
      <xdr:row>0</xdr:row>
      <xdr:rowOff>9525</xdr:rowOff>
    </xdr:from>
    <xdr:to>
      <xdr:col>6</xdr:col>
      <xdr:colOff>114300</xdr:colOff>
      <xdr:row>3</xdr:row>
      <xdr:rowOff>19050</xdr:rowOff>
    </xdr:to>
    <xdr:pic>
      <xdr:nvPicPr>
        <xdr:cNvPr id="608543" name="Afbeelding 18">
          <a:extLst>
            <a:ext uri="{FF2B5EF4-FFF2-40B4-BE49-F238E27FC236}">
              <a16:creationId xmlns:a16="http://schemas.microsoft.com/office/drawing/2014/main" id="{9203051E-8F18-1882-5851-E3451F69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9525"/>
          <a:ext cx="228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1905</xdr:rowOff>
    </xdr:from>
    <xdr:to>
      <xdr:col>6</xdr:col>
      <xdr:colOff>0</xdr:colOff>
      <xdr:row>4</xdr:row>
      <xdr:rowOff>69</xdr:rowOff>
    </xdr:to>
    <xdr:sp macro="" textlink="">
      <xdr:nvSpPr>
        <xdr:cNvPr id="21" name="TextBox 17">
          <a:extLst>
            <a:ext uri="{FF2B5EF4-FFF2-40B4-BE49-F238E27FC236}">
              <a16:creationId xmlns:a16="http://schemas.microsoft.com/office/drawing/2014/main" id="{AD3FC045-8562-CEA5-9C45-DB2507FADBB5}"/>
            </a:ext>
          </a:extLst>
        </xdr:cNvPr>
        <xdr:cNvSpPr txBox="1"/>
      </xdr:nvSpPr>
      <xdr:spPr bwMode="auto">
        <a:xfrm>
          <a:off x="0" y="7620"/>
          <a:ext cx="6484620" cy="63246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104775</xdr:rowOff>
    </xdr:from>
    <xdr:to>
      <xdr:col>4</xdr:col>
      <xdr:colOff>76200</xdr:colOff>
      <xdr:row>4</xdr:row>
      <xdr:rowOff>0</xdr:rowOff>
    </xdr:to>
    <xdr:pic>
      <xdr:nvPicPr>
        <xdr:cNvPr id="608545" name="Afbeelding 27">
          <a:extLst>
            <a:ext uri="{FF2B5EF4-FFF2-40B4-BE49-F238E27FC236}">
              <a16:creationId xmlns:a16="http://schemas.microsoft.com/office/drawing/2014/main" id="{5C42109E-9A4C-312F-94F9-FD5416FE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17716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1981200</xdr:colOff>
      <xdr:row>0</xdr:row>
      <xdr:rowOff>133350</xdr:rowOff>
    </xdr:from>
    <xdr:to>
      <xdr:col>5</xdr:col>
      <xdr:colOff>3800475</xdr:colOff>
      <xdr:row>3</xdr:row>
      <xdr:rowOff>161925</xdr:rowOff>
    </xdr:to>
    <xdr:pic>
      <xdr:nvPicPr>
        <xdr:cNvPr id="607904" name="Afbeelding 10">
          <a:extLst>
            <a:ext uri="{FF2B5EF4-FFF2-40B4-BE49-F238E27FC236}">
              <a16:creationId xmlns:a16="http://schemas.microsoft.com/office/drawing/2014/main" id="{BFDD76C5-8E7C-9FDB-717F-40BE884D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33350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2085975</xdr:colOff>
      <xdr:row>0</xdr:row>
      <xdr:rowOff>104775</xdr:rowOff>
    </xdr:from>
    <xdr:to>
      <xdr:col>5</xdr:col>
      <xdr:colOff>3924300</xdr:colOff>
      <xdr:row>3</xdr:row>
      <xdr:rowOff>142875</xdr:rowOff>
    </xdr:to>
    <xdr:pic>
      <xdr:nvPicPr>
        <xdr:cNvPr id="607905" name="Afbeelding 10">
          <a:extLst>
            <a:ext uri="{FF2B5EF4-FFF2-40B4-BE49-F238E27FC236}">
              <a16:creationId xmlns:a16="http://schemas.microsoft.com/office/drawing/2014/main" id="{747C2080-6C6A-176A-D667-1844DFB6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04775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1104900</xdr:colOff>
      <xdr:row>0</xdr:row>
      <xdr:rowOff>9525</xdr:rowOff>
    </xdr:from>
    <xdr:to>
      <xdr:col>6</xdr:col>
      <xdr:colOff>0</xdr:colOff>
      <xdr:row>3</xdr:row>
      <xdr:rowOff>19050</xdr:rowOff>
    </xdr:to>
    <xdr:pic>
      <xdr:nvPicPr>
        <xdr:cNvPr id="607906" name="Afbeelding 20">
          <a:extLst>
            <a:ext uri="{FF2B5EF4-FFF2-40B4-BE49-F238E27FC236}">
              <a16:creationId xmlns:a16="http://schemas.microsoft.com/office/drawing/2014/main" id="{CF860874-1444-6FBD-EBFF-5B990A310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9525"/>
          <a:ext cx="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1104900</xdr:colOff>
      <xdr:row>0</xdr:row>
      <xdr:rowOff>9525</xdr:rowOff>
    </xdr:from>
    <xdr:to>
      <xdr:col>6</xdr:col>
      <xdr:colOff>0</xdr:colOff>
      <xdr:row>3</xdr:row>
      <xdr:rowOff>19050</xdr:rowOff>
    </xdr:to>
    <xdr:pic>
      <xdr:nvPicPr>
        <xdr:cNvPr id="607907" name="Afbeelding 22">
          <a:extLst>
            <a:ext uri="{FF2B5EF4-FFF2-40B4-BE49-F238E27FC236}">
              <a16:creationId xmlns:a16="http://schemas.microsoft.com/office/drawing/2014/main" id="{1A15C558-9AF7-518B-C467-0AB4AC84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9525"/>
          <a:ext cx="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5" name="TextBox 17">
          <a:extLst>
            <a:ext uri="{FF2B5EF4-FFF2-40B4-BE49-F238E27FC236}">
              <a16:creationId xmlns:a16="http://schemas.microsoft.com/office/drawing/2014/main" id="{0D2BB9D3-D05B-08E4-D6CA-181A61A36ECD}"/>
            </a:ext>
          </a:extLst>
        </xdr:cNvPr>
        <xdr:cNvSpPr txBox="1"/>
      </xdr:nvSpPr>
      <xdr:spPr bwMode="auto">
        <a:xfrm>
          <a:off x="0" y="0"/>
          <a:ext cx="6682740" cy="64008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762000</xdr:colOff>
      <xdr:row>4</xdr:row>
      <xdr:rowOff>0</xdr:rowOff>
    </xdr:to>
    <xdr:pic>
      <xdr:nvPicPr>
        <xdr:cNvPr id="607909" name="Afbeelding 28">
          <a:extLst>
            <a:ext uri="{FF2B5EF4-FFF2-40B4-BE49-F238E27FC236}">
              <a16:creationId xmlns:a16="http://schemas.microsoft.com/office/drawing/2014/main" id="{1F3667DD-E05C-C105-0F74-2766B867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4775"/>
          <a:ext cx="2238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1104900</xdr:colOff>
      <xdr:row>107</xdr:row>
      <xdr:rowOff>0</xdr:rowOff>
    </xdr:from>
    <xdr:to>
      <xdr:col>6</xdr:col>
      <xdr:colOff>0</xdr:colOff>
      <xdr:row>110</xdr:row>
      <xdr:rowOff>9525</xdr:rowOff>
    </xdr:to>
    <xdr:pic>
      <xdr:nvPicPr>
        <xdr:cNvPr id="607910" name="Afbeelding 20">
          <a:extLst>
            <a:ext uri="{FF2B5EF4-FFF2-40B4-BE49-F238E27FC236}">
              <a16:creationId xmlns:a16="http://schemas.microsoft.com/office/drawing/2014/main" id="{243A04EE-FE21-8631-02F3-C193BD75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7649825"/>
          <a:ext cx="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1104900</xdr:colOff>
      <xdr:row>107</xdr:row>
      <xdr:rowOff>0</xdr:rowOff>
    </xdr:from>
    <xdr:to>
      <xdr:col>6</xdr:col>
      <xdr:colOff>0</xdr:colOff>
      <xdr:row>110</xdr:row>
      <xdr:rowOff>9525</xdr:rowOff>
    </xdr:to>
    <xdr:pic>
      <xdr:nvPicPr>
        <xdr:cNvPr id="607911" name="Afbeelding 35">
          <a:extLst>
            <a:ext uri="{FF2B5EF4-FFF2-40B4-BE49-F238E27FC236}">
              <a16:creationId xmlns:a16="http://schemas.microsoft.com/office/drawing/2014/main" id="{CDA1CAAA-04A8-AD7A-C7B0-2BF424DE5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7649825"/>
          <a:ext cx="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85725</xdr:rowOff>
    </xdr:from>
    <xdr:to>
      <xdr:col>3</xdr:col>
      <xdr:colOff>542925</xdr:colOff>
      <xdr:row>3</xdr:row>
      <xdr:rowOff>104775</xdr:rowOff>
    </xdr:to>
    <xdr:pic>
      <xdr:nvPicPr>
        <xdr:cNvPr id="603751" name="Afbeelding 12">
          <a:extLst>
            <a:ext uri="{FF2B5EF4-FFF2-40B4-BE49-F238E27FC236}">
              <a16:creationId xmlns:a16="http://schemas.microsoft.com/office/drawing/2014/main" id="{55DF6216-91AB-9C6A-12A4-67774ADA2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5725"/>
          <a:ext cx="19907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2009775</xdr:colOff>
      <xdr:row>0</xdr:row>
      <xdr:rowOff>133350</xdr:rowOff>
    </xdr:from>
    <xdr:to>
      <xdr:col>6</xdr:col>
      <xdr:colOff>3848100</xdr:colOff>
      <xdr:row>3</xdr:row>
      <xdr:rowOff>161925</xdr:rowOff>
    </xdr:to>
    <xdr:pic>
      <xdr:nvPicPr>
        <xdr:cNvPr id="605647" name="Afbeelding 10">
          <a:extLst>
            <a:ext uri="{FF2B5EF4-FFF2-40B4-BE49-F238E27FC236}">
              <a16:creationId xmlns:a16="http://schemas.microsoft.com/office/drawing/2014/main" id="{D56106D9-4C00-DF16-BC60-CFFA3E88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33350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2114550</xdr:colOff>
      <xdr:row>0</xdr:row>
      <xdr:rowOff>104775</xdr:rowOff>
    </xdr:from>
    <xdr:to>
      <xdr:col>6</xdr:col>
      <xdr:colOff>3962400</xdr:colOff>
      <xdr:row>3</xdr:row>
      <xdr:rowOff>142875</xdr:rowOff>
    </xdr:to>
    <xdr:pic>
      <xdr:nvPicPr>
        <xdr:cNvPr id="605648" name="Afbeelding 10">
          <a:extLst>
            <a:ext uri="{FF2B5EF4-FFF2-40B4-BE49-F238E27FC236}">
              <a16:creationId xmlns:a16="http://schemas.microsoft.com/office/drawing/2014/main" id="{035DF709-6D86-9C7E-ECB3-1B25FB1D1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04775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1143000</xdr:colOff>
      <xdr:row>0</xdr:row>
      <xdr:rowOff>9525</xdr:rowOff>
    </xdr:from>
    <xdr:to>
      <xdr:col>7</xdr:col>
      <xdr:colOff>219075</xdr:colOff>
      <xdr:row>3</xdr:row>
      <xdr:rowOff>104775</xdr:rowOff>
    </xdr:to>
    <xdr:pic>
      <xdr:nvPicPr>
        <xdr:cNvPr id="605649" name="Afbeelding 20">
          <a:extLst>
            <a:ext uri="{FF2B5EF4-FFF2-40B4-BE49-F238E27FC236}">
              <a16:creationId xmlns:a16="http://schemas.microsoft.com/office/drawing/2014/main" id="{9541E16C-0BD1-C848-6608-FB0C2AF46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9525"/>
          <a:ext cx="219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1143000</xdr:colOff>
      <xdr:row>0</xdr:row>
      <xdr:rowOff>9525</xdr:rowOff>
    </xdr:from>
    <xdr:to>
      <xdr:col>7</xdr:col>
      <xdr:colOff>219075</xdr:colOff>
      <xdr:row>3</xdr:row>
      <xdr:rowOff>104775</xdr:rowOff>
    </xdr:to>
    <xdr:pic>
      <xdr:nvPicPr>
        <xdr:cNvPr id="605650" name="Afbeelding 11">
          <a:extLst>
            <a:ext uri="{FF2B5EF4-FFF2-40B4-BE49-F238E27FC236}">
              <a16:creationId xmlns:a16="http://schemas.microsoft.com/office/drawing/2014/main" id="{24ABA9E3-5058-BE1B-7570-974A4251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9525"/>
          <a:ext cx="219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1908</xdr:colOff>
      <xdr:row>4</xdr:row>
      <xdr:rowOff>0</xdr:rowOff>
    </xdr:to>
    <xdr:sp macro="" textlink="">
      <xdr:nvSpPr>
        <xdr:cNvPr id="7" name="TextBox 17">
          <a:extLst>
            <a:ext uri="{FF2B5EF4-FFF2-40B4-BE49-F238E27FC236}">
              <a16:creationId xmlns:a16="http://schemas.microsoft.com/office/drawing/2014/main" id="{17CE98E0-D02E-FD65-9687-BF0FA4397B40}"/>
            </a:ext>
          </a:extLst>
        </xdr:cNvPr>
        <xdr:cNvSpPr txBox="1"/>
      </xdr:nvSpPr>
      <xdr:spPr bwMode="auto">
        <a:xfrm>
          <a:off x="0" y="0"/>
          <a:ext cx="7164708" cy="64008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oneCellAnchor>
    <xdr:from>
      <xdr:col>15</xdr:col>
      <xdr:colOff>470535</xdr:colOff>
      <xdr:row>26</xdr:row>
      <xdr:rowOff>1905</xdr:rowOff>
    </xdr:from>
    <xdr:ext cx="184731" cy="264560"/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087D94-4186-445A-463E-79D98BDDFFDA}"/>
            </a:ext>
          </a:extLst>
        </xdr:cNvPr>
        <xdr:cNvSpPr txBox="1"/>
      </xdr:nvSpPr>
      <xdr:spPr>
        <a:xfrm>
          <a:off x="11700510" y="43262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BE"/>
        </a:p>
      </xdr:txBody>
    </xdr:sp>
    <xdr:clientData/>
  </xdr:oneCellAnchor>
  <xdr:twoCellAnchor editAs="oneCell">
    <xdr:from>
      <xdr:col>0</xdr:col>
      <xdr:colOff>171450</xdr:colOff>
      <xdr:row>0</xdr:row>
      <xdr:rowOff>85725</xdr:rowOff>
    </xdr:from>
    <xdr:to>
      <xdr:col>4</xdr:col>
      <xdr:colOff>752475</xdr:colOff>
      <xdr:row>4</xdr:row>
      <xdr:rowOff>0</xdr:rowOff>
    </xdr:to>
    <xdr:pic>
      <xdr:nvPicPr>
        <xdr:cNvPr id="605653" name="Afbeelding 12">
          <a:extLst>
            <a:ext uri="{FF2B5EF4-FFF2-40B4-BE49-F238E27FC236}">
              <a16:creationId xmlns:a16="http://schemas.microsoft.com/office/drawing/2014/main" id="{030A66C4-7C3F-3F0F-B63C-5843AC038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5725"/>
          <a:ext cx="2228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1609725</xdr:colOff>
      <xdr:row>0</xdr:row>
      <xdr:rowOff>104775</xdr:rowOff>
    </xdr:from>
    <xdr:to>
      <xdr:col>6</xdr:col>
      <xdr:colOff>3057525</xdr:colOff>
      <xdr:row>3</xdr:row>
      <xdr:rowOff>133350</xdr:rowOff>
    </xdr:to>
    <xdr:pic>
      <xdr:nvPicPr>
        <xdr:cNvPr id="611720" name="Afbeelding 10">
          <a:extLst>
            <a:ext uri="{FF2B5EF4-FFF2-40B4-BE49-F238E27FC236}">
              <a16:creationId xmlns:a16="http://schemas.microsoft.com/office/drawing/2014/main" id="{11D5A4A5-D15C-BD06-D42F-958EA21D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047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1685925</xdr:colOff>
      <xdr:row>0</xdr:row>
      <xdr:rowOff>85725</xdr:rowOff>
    </xdr:from>
    <xdr:to>
      <xdr:col>6</xdr:col>
      <xdr:colOff>3143250</xdr:colOff>
      <xdr:row>3</xdr:row>
      <xdr:rowOff>104775</xdr:rowOff>
    </xdr:to>
    <xdr:pic>
      <xdr:nvPicPr>
        <xdr:cNvPr id="611721" name="Afbeelding 10">
          <a:extLst>
            <a:ext uri="{FF2B5EF4-FFF2-40B4-BE49-F238E27FC236}">
              <a16:creationId xmlns:a16="http://schemas.microsoft.com/office/drawing/2014/main" id="{FA95CBF2-283E-3127-8F19-0594A059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8572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1609725</xdr:colOff>
      <xdr:row>0</xdr:row>
      <xdr:rowOff>104775</xdr:rowOff>
    </xdr:from>
    <xdr:to>
      <xdr:col>6</xdr:col>
      <xdr:colOff>3057525</xdr:colOff>
      <xdr:row>3</xdr:row>
      <xdr:rowOff>133350</xdr:rowOff>
    </xdr:to>
    <xdr:pic>
      <xdr:nvPicPr>
        <xdr:cNvPr id="611722" name="Afbeelding 10">
          <a:extLst>
            <a:ext uri="{FF2B5EF4-FFF2-40B4-BE49-F238E27FC236}">
              <a16:creationId xmlns:a16="http://schemas.microsoft.com/office/drawing/2014/main" id="{BDD34C4C-BD60-A43E-3390-47586438E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047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1685925</xdr:colOff>
      <xdr:row>0</xdr:row>
      <xdr:rowOff>85725</xdr:rowOff>
    </xdr:from>
    <xdr:to>
      <xdr:col>6</xdr:col>
      <xdr:colOff>3143250</xdr:colOff>
      <xdr:row>3</xdr:row>
      <xdr:rowOff>104775</xdr:rowOff>
    </xdr:to>
    <xdr:pic>
      <xdr:nvPicPr>
        <xdr:cNvPr id="611723" name="Afbeelding 10">
          <a:extLst>
            <a:ext uri="{FF2B5EF4-FFF2-40B4-BE49-F238E27FC236}">
              <a16:creationId xmlns:a16="http://schemas.microsoft.com/office/drawing/2014/main" id="{54702B09-D0C3-BA10-707F-C2DB06AF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8572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1685925</xdr:colOff>
      <xdr:row>0</xdr:row>
      <xdr:rowOff>85725</xdr:rowOff>
    </xdr:from>
    <xdr:to>
      <xdr:col>6</xdr:col>
      <xdr:colOff>3143250</xdr:colOff>
      <xdr:row>3</xdr:row>
      <xdr:rowOff>104775</xdr:rowOff>
    </xdr:to>
    <xdr:pic>
      <xdr:nvPicPr>
        <xdr:cNvPr id="611724" name="Afbeelding 10">
          <a:extLst>
            <a:ext uri="{FF2B5EF4-FFF2-40B4-BE49-F238E27FC236}">
              <a16:creationId xmlns:a16="http://schemas.microsoft.com/office/drawing/2014/main" id="{CBB43297-A4B3-74F4-AF93-004C402B0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8572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885825</xdr:colOff>
      <xdr:row>0</xdr:row>
      <xdr:rowOff>9525</xdr:rowOff>
    </xdr:from>
    <xdr:to>
      <xdr:col>6</xdr:col>
      <xdr:colOff>885825</xdr:colOff>
      <xdr:row>3</xdr:row>
      <xdr:rowOff>57150</xdr:rowOff>
    </xdr:to>
    <xdr:pic>
      <xdr:nvPicPr>
        <xdr:cNvPr id="611725" name="Afbeelding 20">
          <a:extLst>
            <a:ext uri="{FF2B5EF4-FFF2-40B4-BE49-F238E27FC236}">
              <a16:creationId xmlns:a16="http://schemas.microsoft.com/office/drawing/2014/main" id="{7053E366-7815-C75D-1592-AB39E303A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525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885825</xdr:colOff>
      <xdr:row>0</xdr:row>
      <xdr:rowOff>9525</xdr:rowOff>
    </xdr:from>
    <xdr:to>
      <xdr:col>6</xdr:col>
      <xdr:colOff>885825</xdr:colOff>
      <xdr:row>3</xdr:row>
      <xdr:rowOff>57150</xdr:rowOff>
    </xdr:to>
    <xdr:pic>
      <xdr:nvPicPr>
        <xdr:cNvPr id="611726" name="Afbeelding 51">
          <a:extLst>
            <a:ext uri="{FF2B5EF4-FFF2-40B4-BE49-F238E27FC236}">
              <a16:creationId xmlns:a16="http://schemas.microsoft.com/office/drawing/2014/main" id="{2598D6DA-5F3C-055C-911C-32A8119A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525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4</xdr:row>
      <xdr:rowOff>0</xdr:rowOff>
    </xdr:to>
    <xdr:sp macro="" textlink="">
      <xdr:nvSpPr>
        <xdr:cNvPr id="9" name="TextBox 17">
          <a:extLst>
            <a:ext uri="{FF2B5EF4-FFF2-40B4-BE49-F238E27FC236}">
              <a16:creationId xmlns:a16="http://schemas.microsoft.com/office/drawing/2014/main" id="{DF9CF09B-2008-E023-DB5D-95D7C55D1C35}"/>
            </a:ext>
          </a:extLst>
        </xdr:cNvPr>
        <xdr:cNvSpPr txBox="1"/>
      </xdr:nvSpPr>
      <xdr:spPr bwMode="auto">
        <a:xfrm>
          <a:off x="0" y="0"/>
          <a:ext cx="6926580" cy="64008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txBody>
        <a:bodyPr wrap="square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1pPr>
          <a:lvl2pPr marL="503238" indent="-4603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2pPr>
          <a:lvl3pPr marL="1008063" indent="-9366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3pPr>
          <a:lvl4pPr marL="1512888" indent="-141288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4pPr>
          <a:lvl5pPr marL="2017713" indent="-188913" algn="l" rtl="0" eaLnBrk="0" fontAlgn="base" hangingPunct="0">
            <a:spcBef>
              <a:spcPct val="0"/>
            </a:spcBef>
            <a:spcAft>
              <a:spcPct val="0"/>
            </a:spcAft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tx1"/>
              </a:solidFill>
              <a:latin typeface="Arial" charset="0"/>
              <a:ea typeface="ＭＳ Ｐゴシック" pitchFamily="34" charset="-128"/>
              <a:cs typeface="+mn-cs"/>
            </a:defRPr>
          </a:lvl9pPr>
        </a:lstStyle>
        <a:p>
          <a:pPr algn="ctr">
            <a:defRPr/>
          </a:pPr>
          <a:endParaRPr lang="en-US" sz="280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Verdana"/>
            <a:ea typeface="MS PGothic" charset="0"/>
            <a:cs typeface="Verdana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47625</xdr:rowOff>
    </xdr:from>
    <xdr:to>
      <xdr:col>4</xdr:col>
      <xdr:colOff>685800</xdr:colOff>
      <xdr:row>4</xdr:row>
      <xdr:rowOff>0</xdr:rowOff>
    </xdr:to>
    <xdr:pic>
      <xdr:nvPicPr>
        <xdr:cNvPr id="611728" name="Afbeelding 12">
          <a:extLst>
            <a:ext uri="{FF2B5EF4-FFF2-40B4-BE49-F238E27FC236}">
              <a16:creationId xmlns:a16="http://schemas.microsoft.com/office/drawing/2014/main" id="{E605CB28-BB45-E16B-52F7-78EFFD0E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20955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C0000" mc:Ignorable="a14" a14:legacySpreadsheetColorIndex="4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C0000" mc:Ignorable="a14" a14:legacySpreadsheetColorIndex="4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832B-579E-46C0-9CD4-A214D92A8FD4}">
  <sheetPr codeName="Blad1"/>
  <dimension ref="A1:K123"/>
  <sheetViews>
    <sheetView showGridLines="0" topLeftCell="A89" zoomScaleNormal="100" workbookViewId="0">
      <selection activeCell="A101" sqref="A101:G108"/>
    </sheetView>
  </sheetViews>
  <sheetFormatPr defaultColWidth="9.140625" defaultRowHeight="12.75" x14ac:dyDescent="0.2"/>
  <cols>
    <col min="1" max="1" width="13.7109375" style="1" customWidth="1"/>
    <col min="2" max="2" width="11.5703125" style="2" customWidth="1"/>
    <col min="3" max="3" width="20.28515625" style="3" customWidth="1"/>
    <col min="4" max="4" width="8.140625" style="1" customWidth="1"/>
    <col min="5" max="5" width="2" style="1" customWidth="1"/>
    <col min="6" max="6" width="19.42578125" style="2" customWidth="1"/>
    <col min="7" max="7" width="20.28515625" style="2" customWidth="1"/>
    <col min="8" max="8" width="9.140625" style="1"/>
    <col min="9" max="9" width="10.42578125" style="6" bestFit="1" customWidth="1"/>
    <col min="10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D4" s="2"/>
      <c r="E4" s="2"/>
    </row>
    <row r="5" spans="1:7" ht="15" x14ac:dyDescent="0.2">
      <c r="A5" s="143" t="s">
        <v>0</v>
      </c>
      <c r="B5" s="72"/>
      <c r="C5" s="13"/>
      <c r="D5" s="13"/>
      <c r="E5" s="13"/>
      <c r="F5" s="72"/>
      <c r="G5" s="72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11" t="s">
        <v>5</v>
      </c>
      <c r="F6" s="11" t="s">
        <v>5</v>
      </c>
      <c r="G6" s="11" t="s">
        <v>6</v>
      </c>
    </row>
    <row r="7" spans="1:7" x14ac:dyDescent="0.2">
      <c r="A7" s="76">
        <v>9869</v>
      </c>
      <c r="B7" s="77" t="s">
        <v>7</v>
      </c>
      <c r="C7" s="76" t="s">
        <v>8</v>
      </c>
      <c r="D7" s="77">
        <v>1</v>
      </c>
      <c r="E7" s="77"/>
      <c r="F7" s="84">
        <v>11.3</v>
      </c>
      <c r="G7" s="78">
        <f>D7*F7</f>
        <v>11.3</v>
      </c>
    </row>
    <row r="8" spans="1:7" x14ac:dyDescent="0.2">
      <c r="A8" s="76"/>
      <c r="B8" s="77"/>
      <c r="C8" s="76"/>
      <c r="D8" s="77">
        <v>12</v>
      </c>
      <c r="E8" s="77"/>
      <c r="F8" s="84">
        <v>9.8000000000000007</v>
      </c>
      <c r="G8" s="78">
        <f>D8*F8</f>
        <v>117.60000000000001</v>
      </c>
    </row>
    <row r="9" spans="1:7" x14ac:dyDescent="0.2">
      <c r="A9" s="76"/>
      <c r="B9" s="77"/>
      <c r="C9" s="76"/>
      <c r="D9" s="77">
        <v>24</v>
      </c>
      <c r="E9" s="77"/>
      <c r="F9" s="84">
        <v>8.8000000000000007</v>
      </c>
      <c r="G9" s="78">
        <f>D9*F9</f>
        <v>211.20000000000002</v>
      </c>
    </row>
    <row r="10" spans="1:7" x14ac:dyDescent="0.2">
      <c r="A10" s="76"/>
      <c r="B10" s="77"/>
      <c r="C10" s="76"/>
      <c r="D10" s="77">
        <v>48</v>
      </c>
      <c r="E10" s="77"/>
      <c r="F10" s="84">
        <v>8.1</v>
      </c>
      <c r="G10" s="78">
        <f>D10*F10</f>
        <v>388.79999999999995</v>
      </c>
    </row>
    <row r="11" spans="1:7" x14ac:dyDescent="0.2">
      <c r="D11" s="2"/>
      <c r="E11" s="2"/>
    </row>
    <row r="12" spans="1:7" ht="15" x14ac:dyDescent="0.2">
      <c r="A12" s="143" t="s">
        <v>9</v>
      </c>
      <c r="B12" s="72"/>
      <c r="C12" s="13"/>
      <c r="D12" s="13"/>
      <c r="E12" s="13"/>
      <c r="F12" s="72"/>
      <c r="G12" s="72"/>
    </row>
    <row r="13" spans="1:7" x14ac:dyDescent="0.2">
      <c r="A13" s="12" t="s">
        <v>1</v>
      </c>
      <c r="B13" s="11" t="s">
        <v>2</v>
      </c>
      <c r="C13" s="12" t="s">
        <v>3</v>
      </c>
      <c r="D13" s="11" t="s">
        <v>4</v>
      </c>
      <c r="E13" s="11" t="s">
        <v>5</v>
      </c>
      <c r="F13" s="11" t="s">
        <v>5</v>
      </c>
      <c r="G13" s="11" t="s">
        <v>6</v>
      </c>
    </row>
    <row r="14" spans="1:7" ht="12.75" customHeight="1" x14ac:dyDescent="0.2">
      <c r="A14" s="76">
        <v>9606</v>
      </c>
      <c r="B14" s="77" t="s">
        <v>10</v>
      </c>
      <c r="C14" s="76" t="s">
        <v>11</v>
      </c>
      <c r="D14" s="77">
        <v>1</v>
      </c>
      <c r="E14" s="77"/>
      <c r="F14" s="84">
        <v>13.1</v>
      </c>
      <c r="G14" s="78">
        <f t="shared" ref="G14:G21" si="0">D14*F14</f>
        <v>13.1</v>
      </c>
    </row>
    <row r="15" spans="1:7" x14ac:dyDescent="0.2">
      <c r="A15" s="76"/>
      <c r="B15" s="77"/>
      <c r="C15" s="76"/>
      <c r="D15" s="77">
        <v>12</v>
      </c>
      <c r="E15" s="77"/>
      <c r="F15" s="84">
        <v>10.8</v>
      </c>
      <c r="G15" s="78">
        <f t="shared" si="0"/>
        <v>129.60000000000002</v>
      </c>
    </row>
    <row r="16" spans="1:7" x14ac:dyDescent="0.2">
      <c r="A16" s="76"/>
      <c r="B16" s="77"/>
      <c r="C16" s="76"/>
      <c r="D16" s="77">
        <v>24</v>
      </c>
      <c r="E16" s="77"/>
      <c r="F16" s="84">
        <v>9.6999999999999993</v>
      </c>
      <c r="G16" s="78">
        <f t="shared" si="0"/>
        <v>232.79999999999998</v>
      </c>
    </row>
    <row r="17" spans="1:7" x14ac:dyDescent="0.2">
      <c r="A17" s="76"/>
      <c r="B17" s="77"/>
      <c r="C17" s="76"/>
      <c r="D17" s="77">
        <v>48</v>
      </c>
      <c r="E17" s="77"/>
      <c r="F17" s="84">
        <v>9</v>
      </c>
      <c r="G17" s="78">
        <f t="shared" si="0"/>
        <v>432</v>
      </c>
    </row>
    <row r="18" spans="1:7" x14ac:dyDescent="0.2">
      <c r="A18" s="122">
        <v>8019</v>
      </c>
      <c r="B18" s="123" t="s">
        <v>12</v>
      </c>
      <c r="C18" s="122" t="s">
        <v>11</v>
      </c>
      <c r="D18" s="124">
        <v>1</v>
      </c>
      <c r="E18" s="124"/>
      <c r="F18" s="132">
        <v>18.600000000000001</v>
      </c>
      <c r="G18" s="125">
        <f t="shared" si="0"/>
        <v>18.600000000000001</v>
      </c>
    </row>
    <row r="19" spans="1:7" x14ac:dyDescent="0.2">
      <c r="A19" s="122"/>
      <c r="B19" s="123"/>
      <c r="C19" s="122"/>
      <c r="D19" s="124">
        <v>12</v>
      </c>
      <c r="E19" s="124"/>
      <c r="F19" s="132">
        <v>16.7</v>
      </c>
      <c r="G19" s="125">
        <f t="shared" si="0"/>
        <v>200.39999999999998</v>
      </c>
    </row>
    <row r="20" spans="1:7" x14ac:dyDescent="0.2">
      <c r="A20" s="122"/>
      <c r="B20" s="123"/>
      <c r="C20" s="122"/>
      <c r="D20" s="124">
        <v>24</v>
      </c>
      <c r="E20" s="124"/>
      <c r="F20" s="132">
        <v>16.2</v>
      </c>
      <c r="G20" s="125">
        <f t="shared" si="0"/>
        <v>388.79999999999995</v>
      </c>
    </row>
    <row r="21" spans="1:7" x14ac:dyDescent="0.2">
      <c r="A21" s="122"/>
      <c r="B21" s="123"/>
      <c r="C21" s="122"/>
      <c r="D21" s="124">
        <v>48</v>
      </c>
      <c r="E21" s="124"/>
      <c r="F21" s="132">
        <v>15.5</v>
      </c>
      <c r="G21" s="125">
        <f t="shared" si="0"/>
        <v>744</v>
      </c>
    </row>
    <row r="22" spans="1:7" ht="12.75" customHeight="1" x14ac:dyDescent="0.2">
      <c r="D22" s="2"/>
      <c r="E22" s="2"/>
      <c r="F22" s="73"/>
      <c r="G22" s="4"/>
    </row>
    <row r="23" spans="1:7" ht="15" x14ac:dyDescent="0.2">
      <c r="A23" s="143" t="s">
        <v>13</v>
      </c>
      <c r="B23" s="72"/>
      <c r="C23" s="13"/>
      <c r="D23" s="13"/>
      <c r="E23" s="13"/>
      <c r="F23" s="72"/>
      <c r="G23" s="72"/>
    </row>
    <row r="24" spans="1:7" x14ac:dyDescent="0.2">
      <c r="A24" s="12" t="s">
        <v>1</v>
      </c>
      <c r="B24" s="11" t="s">
        <v>2</v>
      </c>
      <c r="C24" s="12" t="s">
        <v>3</v>
      </c>
      <c r="D24" s="11" t="s">
        <v>4</v>
      </c>
      <c r="E24" s="12"/>
      <c r="F24" s="11" t="s">
        <v>5</v>
      </c>
      <c r="G24" s="11" t="s">
        <v>6</v>
      </c>
    </row>
    <row r="25" spans="1:7" x14ac:dyDescent="0.2">
      <c r="A25" s="76">
        <v>9231</v>
      </c>
      <c r="B25" s="77" t="s">
        <v>14</v>
      </c>
      <c r="C25" s="76" t="s">
        <v>11</v>
      </c>
      <c r="D25" s="77">
        <v>1</v>
      </c>
      <c r="E25" s="77"/>
      <c r="F25" s="84">
        <v>27.4</v>
      </c>
      <c r="G25" s="78">
        <f t="shared" ref="G25:G32" si="1">D25*F25</f>
        <v>27.4</v>
      </c>
    </row>
    <row r="26" spans="1:7" x14ac:dyDescent="0.2">
      <c r="A26" s="76"/>
      <c r="B26" s="77"/>
      <c r="C26" s="76"/>
      <c r="D26" s="77">
        <v>12</v>
      </c>
      <c r="E26" s="77"/>
      <c r="F26" s="84">
        <v>26.2</v>
      </c>
      <c r="G26" s="78">
        <f t="shared" si="1"/>
        <v>314.39999999999998</v>
      </c>
    </row>
    <row r="27" spans="1:7" x14ac:dyDescent="0.2">
      <c r="A27" s="76"/>
      <c r="B27" s="77"/>
      <c r="C27" s="76"/>
      <c r="D27" s="77">
        <v>24</v>
      </c>
      <c r="E27" s="77"/>
      <c r="F27" s="84">
        <v>25</v>
      </c>
      <c r="G27" s="78">
        <f t="shared" si="1"/>
        <v>600</v>
      </c>
    </row>
    <row r="28" spans="1:7" x14ac:dyDescent="0.2">
      <c r="A28" s="76"/>
      <c r="B28" s="77"/>
      <c r="C28" s="76"/>
      <c r="D28" s="77">
        <v>48</v>
      </c>
      <c r="E28" s="77"/>
      <c r="F28" s="84">
        <v>24</v>
      </c>
      <c r="G28" s="78">
        <f t="shared" si="1"/>
        <v>1152</v>
      </c>
    </row>
    <row r="29" spans="1:7" ht="12.75" customHeight="1" x14ac:dyDescent="0.2">
      <c r="A29" s="122">
        <v>8101</v>
      </c>
      <c r="B29" s="123" t="s">
        <v>15</v>
      </c>
      <c r="C29" s="122" t="s">
        <v>16</v>
      </c>
      <c r="D29" s="123">
        <v>1</v>
      </c>
      <c r="E29" s="123"/>
      <c r="F29" s="132">
        <v>56.4</v>
      </c>
      <c r="G29" s="125">
        <f t="shared" si="1"/>
        <v>56.4</v>
      </c>
    </row>
    <row r="30" spans="1:7" x14ac:dyDescent="0.2">
      <c r="A30" s="122"/>
      <c r="B30" s="126"/>
      <c r="C30" s="122"/>
      <c r="D30" s="123">
        <v>6</v>
      </c>
      <c r="E30" s="123"/>
      <c r="F30" s="132">
        <v>53.7</v>
      </c>
      <c r="G30" s="125">
        <f t="shared" si="1"/>
        <v>322.20000000000005</v>
      </c>
    </row>
    <row r="31" spans="1:7" x14ac:dyDescent="0.2">
      <c r="A31" s="122"/>
      <c r="B31" s="127"/>
      <c r="C31" s="122"/>
      <c r="D31" s="123">
        <v>12</v>
      </c>
      <c r="E31" s="123"/>
      <c r="F31" s="132">
        <v>51.4</v>
      </c>
      <c r="G31" s="125">
        <f t="shared" si="1"/>
        <v>616.79999999999995</v>
      </c>
    </row>
    <row r="32" spans="1:7" x14ac:dyDescent="0.2">
      <c r="A32" s="122"/>
      <c r="B32" s="123"/>
      <c r="C32" s="122"/>
      <c r="D32" s="123">
        <v>24</v>
      </c>
      <c r="E32" s="123"/>
      <c r="F32" s="132">
        <v>51</v>
      </c>
      <c r="G32" s="125">
        <f t="shared" si="1"/>
        <v>1224</v>
      </c>
    </row>
    <row r="33" spans="1:7" x14ac:dyDescent="0.2">
      <c r="A33" s="76">
        <v>8102</v>
      </c>
      <c r="B33" s="77" t="s">
        <v>17</v>
      </c>
      <c r="C33" s="76" t="s">
        <v>18</v>
      </c>
      <c r="D33" s="77">
        <v>1</v>
      </c>
      <c r="E33" s="77"/>
      <c r="F33" s="84">
        <v>43.1</v>
      </c>
      <c r="G33" s="78">
        <f>F33*5</f>
        <v>215.5</v>
      </c>
    </row>
    <row r="34" spans="1:7" x14ac:dyDescent="0.2">
      <c r="A34" s="122">
        <v>8103</v>
      </c>
      <c r="B34" s="123" t="s">
        <v>19</v>
      </c>
      <c r="C34" s="122" t="s">
        <v>18</v>
      </c>
      <c r="D34" s="123">
        <v>1</v>
      </c>
      <c r="E34" s="123"/>
      <c r="F34" s="132">
        <v>41.6</v>
      </c>
      <c r="G34" s="125">
        <f>F34*10</f>
        <v>416</v>
      </c>
    </row>
    <row r="35" spans="1:7" x14ac:dyDescent="0.2">
      <c r="A35" s="76">
        <v>8104</v>
      </c>
      <c r="B35" s="77" t="s">
        <v>20</v>
      </c>
      <c r="C35" s="76" t="s">
        <v>18</v>
      </c>
      <c r="D35" s="77">
        <v>1</v>
      </c>
      <c r="E35" s="77"/>
      <c r="F35" s="84">
        <v>40</v>
      </c>
      <c r="G35" s="78">
        <f>F35*20</f>
        <v>800</v>
      </c>
    </row>
    <row r="36" spans="1:7" x14ac:dyDescent="0.2">
      <c r="A36" s="76"/>
      <c r="B36" s="77"/>
      <c r="C36" s="76"/>
      <c r="D36" s="77">
        <v>3</v>
      </c>
      <c r="E36" s="77"/>
      <c r="F36" s="84">
        <v>38.9</v>
      </c>
      <c r="G36" s="78">
        <f>F36*20*D36</f>
        <v>2334</v>
      </c>
    </row>
    <row r="37" spans="1:7" x14ac:dyDescent="0.2">
      <c r="A37" s="3"/>
      <c r="F37" s="6"/>
      <c r="G37" s="4"/>
    </row>
    <row r="38" spans="1:7" ht="15" x14ac:dyDescent="0.2">
      <c r="A38" s="143" t="s">
        <v>21</v>
      </c>
      <c r="B38" s="72"/>
      <c r="C38" s="13"/>
      <c r="D38" s="13"/>
      <c r="E38" s="13"/>
      <c r="F38" s="72"/>
      <c r="G38" s="72"/>
    </row>
    <row r="39" spans="1:7" x14ac:dyDescent="0.2">
      <c r="A39" s="12" t="s">
        <v>1</v>
      </c>
      <c r="B39" s="11" t="s">
        <v>2</v>
      </c>
      <c r="C39" s="12" t="s">
        <v>3</v>
      </c>
      <c r="D39" s="11" t="s">
        <v>4</v>
      </c>
      <c r="E39" s="12"/>
      <c r="F39" s="11" t="s">
        <v>5</v>
      </c>
      <c r="G39" s="11" t="s">
        <v>6</v>
      </c>
    </row>
    <row r="40" spans="1:7" x14ac:dyDescent="0.2">
      <c r="A40" s="76">
        <v>9250</v>
      </c>
      <c r="B40" s="77" t="s">
        <v>14</v>
      </c>
      <c r="C40" s="76" t="s">
        <v>11</v>
      </c>
      <c r="D40" s="77">
        <v>1</v>
      </c>
      <c r="E40" s="77"/>
      <c r="F40" s="84">
        <v>45.5</v>
      </c>
      <c r="G40" s="78">
        <f>D40*F40</f>
        <v>45.5</v>
      </c>
    </row>
    <row r="41" spans="1:7" x14ac:dyDescent="0.2">
      <c r="A41" s="76"/>
      <c r="B41" s="77"/>
      <c r="C41" s="76"/>
      <c r="D41" s="77">
        <v>12</v>
      </c>
      <c r="E41" s="77"/>
      <c r="F41" s="84">
        <v>41.6</v>
      </c>
      <c r="G41" s="78">
        <f>D41*F41</f>
        <v>499.20000000000005</v>
      </c>
    </row>
    <row r="42" spans="1:7" x14ac:dyDescent="0.2">
      <c r="A42" s="76"/>
      <c r="B42" s="77"/>
      <c r="C42" s="76"/>
      <c r="D42" s="77">
        <v>24</v>
      </c>
      <c r="E42" s="77"/>
      <c r="F42" s="84">
        <v>39.799999999999997</v>
      </c>
      <c r="G42" s="78">
        <f>D42*F42</f>
        <v>955.19999999999993</v>
      </c>
    </row>
    <row r="43" spans="1:7" x14ac:dyDescent="0.2">
      <c r="A43" s="76"/>
      <c r="B43" s="77"/>
      <c r="C43" s="76"/>
      <c r="D43" s="77">
        <v>48</v>
      </c>
      <c r="E43" s="77"/>
      <c r="F43" s="84">
        <v>37.6</v>
      </c>
      <c r="G43" s="78">
        <f>D43*F43</f>
        <v>1804.8000000000002</v>
      </c>
    </row>
    <row r="44" spans="1:7" ht="12.75" customHeight="1" x14ac:dyDescent="0.2">
      <c r="A44" s="122">
        <v>8502</v>
      </c>
      <c r="B44" s="123" t="s">
        <v>17</v>
      </c>
      <c r="C44" s="122" t="s">
        <v>18</v>
      </c>
      <c r="D44" s="123">
        <v>1</v>
      </c>
      <c r="E44" s="123"/>
      <c r="F44" s="132">
        <v>50</v>
      </c>
      <c r="G44" s="125">
        <f>F44*5</f>
        <v>250</v>
      </c>
    </row>
    <row r="45" spans="1:7" x14ac:dyDescent="0.2">
      <c r="A45" s="76">
        <v>8501</v>
      </c>
      <c r="B45" s="77" t="s">
        <v>19</v>
      </c>
      <c r="C45" s="76" t="s">
        <v>18</v>
      </c>
      <c r="D45" s="77">
        <v>1</v>
      </c>
      <c r="E45" s="80"/>
      <c r="F45" s="84">
        <v>47</v>
      </c>
      <c r="G45" s="78">
        <f>F45*10</f>
        <v>470</v>
      </c>
    </row>
    <row r="46" spans="1:7" x14ac:dyDescent="0.2">
      <c r="A46" s="122">
        <v>8500</v>
      </c>
      <c r="B46" s="123" t="s">
        <v>20</v>
      </c>
      <c r="C46" s="122" t="s">
        <v>18</v>
      </c>
      <c r="D46" s="123">
        <v>1</v>
      </c>
      <c r="E46" s="123"/>
      <c r="F46" s="132">
        <v>44</v>
      </c>
      <c r="G46" s="125">
        <f>F46*20</f>
        <v>880</v>
      </c>
    </row>
    <row r="47" spans="1:7" x14ac:dyDescent="0.2">
      <c r="A47" s="122"/>
      <c r="B47" s="123"/>
      <c r="C47" s="122"/>
      <c r="D47" s="123">
        <v>3</v>
      </c>
      <c r="E47" s="128"/>
      <c r="F47" s="132">
        <v>42.3</v>
      </c>
      <c r="G47" s="125">
        <f>F47*60</f>
        <v>2538</v>
      </c>
    </row>
    <row r="49" spans="1:7" ht="15" x14ac:dyDescent="0.2">
      <c r="A49" s="167" t="s">
        <v>22</v>
      </c>
      <c r="B49" s="167"/>
      <c r="C49" s="13"/>
      <c r="D49" s="13"/>
      <c r="E49" s="13"/>
      <c r="F49" s="72"/>
      <c r="G49" s="72"/>
    </row>
    <row r="50" spans="1:7" x14ac:dyDescent="0.2">
      <c r="A50" s="12" t="s">
        <v>1</v>
      </c>
      <c r="B50" s="11" t="s">
        <v>2</v>
      </c>
      <c r="C50" s="12" t="s">
        <v>3</v>
      </c>
      <c r="D50" s="11" t="s">
        <v>4</v>
      </c>
      <c r="E50" s="12"/>
      <c r="F50" s="11" t="s">
        <v>5</v>
      </c>
      <c r="G50" s="11" t="s">
        <v>6</v>
      </c>
    </row>
    <row r="51" spans="1:7" x14ac:dyDescent="0.2">
      <c r="A51" s="76">
        <v>9166</v>
      </c>
      <c r="B51" s="77" t="s">
        <v>15</v>
      </c>
      <c r="C51" s="76" t="s">
        <v>8</v>
      </c>
      <c r="D51" s="77">
        <v>1</v>
      </c>
      <c r="E51" s="77"/>
      <c r="F51" s="84">
        <v>83.4</v>
      </c>
      <c r="G51" s="78">
        <f>D51*F51</f>
        <v>83.4</v>
      </c>
    </row>
    <row r="52" spans="1:7" x14ac:dyDescent="0.2">
      <c r="A52" s="76"/>
      <c r="B52" s="77"/>
      <c r="C52" s="76"/>
      <c r="D52" s="77">
        <v>6</v>
      </c>
      <c r="E52" s="80" t="s">
        <v>23</v>
      </c>
      <c r="F52" s="84">
        <v>79.599999999999994</v>
      </c>
      <c r="G52" s="78">
        <f>D52*F52</f>
        <v>477.59999999999997</v>
      </c>
    </row>
    <row r="53" spans="1:7" x14ac:dyDescent="0.2">
      <c r="A53" s="76"/>
      <c r="B53" s="77"/>
      <c r="C53" s="76"/>
      <c r="D53" s="77">
        <v>12</v>
      </c>
      <c r="E53" s="80" t="s">
        <v>23</v>
      </c>
      <c r="F53" s="84">
        <v>75.900000000000006</v>
      </c>
      <c r="G53" s="78">
        <f>D53*F53</f>
        <v>910.80000000000007</v>
      </c>
    </row>
    <row r="54" spans="1:7" x14ac:dyDescent="0.2">
      <c r="A54" s="76"/>
      <c r="B54" s="77"/>
      <c r="C54" s="76"/>
      <c r="D54" s="77">
        <v>24</v>
      </c>
      <c r="E54" s="80" t="s">
        <v>23</v>
      </c>
      <c r="F54" s="84">
        <v>72.2</v>
      </c>
      <c r="G54" s="78">
        <f>D54*F54</f>
        <v>1732.8000000000002</v>
      </c>
    </row>
    <row r="55" spans="1:7" x14ac:dyDescent="0.2">
      <c r="A55" s="122">
        <v>9167</v>
      </c>
      <c r="B55" s="123" t="s">
        <v>17</v>
      </c>
      <c r="C55" s="122" t="s">
        <v>18</v>
      </c>
      <c r="D55" s="123">
        <v>1</v>
      </c>
      <c r="E55" s="123"/>
      <c r="F55" s="132">
        <v>69.2</v>
      </c>
      <c r="G55" s="125">
        <f>F55*5</f>
        <v>346</v>
      </c>
    </row>
    <row r="56" spans="1:7" ht="12.75" customHeight="1" x14ac:dyDescent="0.2">
      <c r="A56" s="76">
        <v>9168</v>
      </c>
      <c r="B56" s="77" t="s">
        <v>19</v>
      </c>
      <c r="C56" s="76" t="s">
        <v>18</v>
      </c>
      <c r="D56" s="77">
        <v>1</v>
      </c>
      <c r="E56" s="77"/>
      <c r="F56" s="84">
        <v>67.8</v>
      </c>
      <c r="G56" s="78">
        <f>F56*10</f>
        <v>678</v>
      </c>
    </row>
    <row r="57" spans="1:7" x14ac:dyDescent="0.2">
      <c r="A57" s="122">
        <v>9169</v>
      </c>
      <c r="B57" s="123" t="s">
        <v>20</v>
      </c>
      <c r="C57" s="122" t="s">
        <v>18</v>
      </c>
      <c r="D57" s="123">
        <v>1</v>
      </c>
      <c r="E57" s="123"/>
      <c r="F57" s="132">
        <v>65.900000000000006</v>
      </c>
      <c r="G57" s="125">
        <f>F57*20</f>
        <v>1318</v>
      </c>
    </row>
    <row r="59" spans="1:7" ht="15" x14ac:dyDescent="0.2">
      <c r="A59" s="227" t="s">
        <v>24</v>
      </c>
      <c r="B59" s="227"/>
      <c r="C59" s="13"/>
      <c r="D59" s="13"/>
      <c r="E59" s="13"/>
      <c r="F59" s="72"/>
      <c r="G59" s="72"/>
    </row>
    <row r="60" spans="1:7" x14ac:dyDescent="0.2">
      <c r="A60" s="12" t="s">
        <v>1</v>
      </c>
      <c r="B60" s="11" t="s">
        <v>2</v>
      </c>
      <c r="C60" s="12" t="s">
        <v>3</v>
      </c>
      <c r="D60" s="11" t="s">
        <v>4</v>
      </c>
      <c r="E60" s="12"/>
      <c r="F60" s="11" t="s">
        <v>5</v>
      </c>
      <c r="G60" s="11" t="s">
        <v>6</v>
      </c>
    </row>
    <row r="61" spans="1:7" x14ac:dyDescent="0.2">
      <c r="A61" s="81">
        <v>8464</v>
      </c>
      <c r="B61" s="82" t="s">
        <v>15</v>
      </c>
      <c r="C61" s="76" t="s">
        <v>8</v>
      </c>
      <c r="D61" s="82">
        <v>6</v>
      </c>
      <c r="E61" s="80"/>
      <c r="F61" s="84">
        <v>49.6</v>
      </c>
      <c r="G61" s="83">
        <f>F61*D61</f>
        <v>297.60000000000002</v>
      </c>
    </row>
    <row r="62" spans="1:7" x14ac:dyDescent="0.2">
      <c r="A62" s="129">
        <v>8429</v>
      </c>
      <c r="B62" s="130" t="s">
        <v>17</v>
      </c>
      <c r="C62" s="122" t="s">
        <v>18</v>
      </c>
      <c r="D62" s="130">
        <v>1</v>
      </c>
      <c r="E62" s="130"/>
      <c r="F62" s="132">
        <v>43.1</v>
      </c>
      <c r="G62" s="131">
        <f>F62*5</f>
        <v>215.5</v>
      </c>
    </row>
    <row r="63" spans="1:7" x14ac:dyDescent="0.2">
      <c r="A63" s="81">
        <v>8430</v>
      </c>
      <c r="B63" s="82" t="s">
        <v>19</v>
      </c>
      <c r="C63" s="76" t="s">
        <v>18</v>
      </c>
      <c r="D63" s="82">
        <v>1</v>
      </c>
      <c r="E63" s="82"/>
      <c r="F63" s="84">
        <v>41.6</v>
      </c>
      <c r="G63" s="83">
        <f>F63*10</f>
        <v>416</v>
      </c>
    </row>
    <row r="64" spans="1:7" x14ac:dyDescent="0.2">
      <c r="A64" s="129">
        <v>8431</v>
      </c>
      <c r="B64" s="130" t="s">
        <v>20</v>
      </c>
      <c r="C64" s="122" t="s">
        <v>18</v>
      </c>
      <c r="D64" s="130">
        <v>1</v>
      </c>
      <c r="E64" s="130"/>
      <c r="F64" s="132">
        <v>40</v>
      </c>
      <c r="G64" s="131">
        <f>F64*20</f>
        <v>800</v>
      </c>
    </row>
    <row r="65" spans="1:7" x14ac:dyDescent="0.2">
      <c r="A65" s="122"/>
      <c r="B65" s="123"/>
      <c r="C65" s="122"/>
      <c r="D65" s="130">
        <v>3</v>
      </c>
      <c r="E65" s="130"/>
      <c r="F65" s="132">
        <v>38.4</v>
      </c>
      <c r="G65" s="131">
        <f>F65*60</f>
        <v>2304</v>
      </c>
    </row>
    <row r="66" spans="1:7" x14ac:dyDescent="0.2">
      <c r="A66" s="81">
        <v>8655</v>
      </c>
      <c r="B66" s="82" t="s">
        <v>25</v>
      </c>
      <c r="C66" s="76" t="s">
        <v>26</v>
      </c>
      <c r="D66" s="82">
        <v>1</v>
      </c>
      <c r="E66" s="80" t="s">
        <v>23</v>
      </c>
      <c r="F66" s="84">
        <v>35.700000000000003</v>
      </c>
      <c r="G66" s="83">
        <f>F66*200</f>
        <v>7140.0000000000009</v>
      </c>
    </row>
    <row r="67" spans="1:7" x14ac:dyDescent="0.2">
      <c r="A67" s="3"/>
      <c r="F67" s="73"/>
      <c r="G67" s="4"/>
    </row>
    <row r="68" spans="1:7" ht="15" x14ac:dyDescent="0.2">
      <c r="A68" s="227" t="s">
        <v>27</v>
      </c>
      <c r="B68" s="227"/>
      <c r="C68" s="13"/>
      <c r="D68" s="13"/>
      <c r="E68" s="13"/>
      <c r="F68" s="72"/>
      <c r="G68" s="72"/>
    </row>
    <row r="69" spans="1:7" x14ac:dyDescent="0.2">
      <c r="A69" s="12" t="s">
        <v>1</v>
      </c>
      <c r="B69" s="11" t="s">
        <v>2</v>
      </c>
      <c r="C69" s="12" t="s">
        <v>3</v>
      </c>
      <c r="D69" s="11" t="s">
        <v>4</v>
      </c>
      <c r="E69" s="12"/>
      <c r="F69" s="11" t="s">
        <v>5</v>
      </c>
      <c r="G69" s="11" t="s">
        <v>6</v>
      </c>
    </row>
    <row r="70" spans="1:7" x14ac:dyDescent="0.2">
      <c r="A70" s="81">
        <v>8358</v>
      </c>
      <c r="B70" s="82" t="s">
        <v>17</v>
      </c>
      <c r="C70" s="76" t="s">
        <v>18</v>
      </c>
      <c r="D70" s="82">
        <v>1</v>
      </c>
      <c r="E70" s="80" t="s">
        <v>23</v>
      </c>
      <c r="F70" s="84">
        <v>43.1</v>
      </c>
      <c r="G70" s="83">
        <f>F70*5</f>
        <v>215.5</v>
      </c>
    </row>
    <row r="71" spans="1:7" x14ac:dyDescent="0.2">
      <c r="A71" s="129">
        <v>8359</v>
      </c>
      <c r="B71" s="130" t="s">
        <v>19</v>
      </c>
      <c r="C71" s="122" t="s">
        <v>18</v>
      </c>
      <c r="D71" s="130">
        <v>1</v>
      </c>
      <c r="E71" s="128" t="s">
        <v>23</v>
      </c>
      <c r="F71" s="132">
        <v>41.6</v>
      </c>
      <c r="G71" s="131">
        <f>F71*10</f>
        <v>416</v>
      </c>
    </row>
    <row r="72" spans="1:7" x14ac:dyDescent="0.2">
      <c r="A72" s="81">
        <v>8393</v>
      </c>
      <c r="B72" s="82" t="s">
        <v>20</v>
      </c>
      <c r="C72" s="76" t="s">
        <v>18</v>
      </c>
      <c r="D72" s="82">
        <v>1</v>
      </c>
      <c r="E72" s="80" t="s">
        <v>23</v>
      </c>
      <c r="F72" s="84">
        <v>40</v>
      </c>
      <c r="G72" s="83">
        <f>F72*20</f>
        <v>800</v>
      </c>
    </row>
    <row r="73" spans="1:7" x14ac:dyDescent="0.2">
      <c r="A73" s="81"/>
      <c r="B73" s="82"/>
      <c r="C73" s="76"/>
      <c r="D73" s="82">
        <v>3</v>
      </c>
      <c r="E73" s="80" t="s">
        <v>23</v>
      </c>
      <c r="F73" s="84">
        <v>38.4</v>
      </c>
      <c r="G73" s="83">
        <f>F73*60</f>
        <v>2304</v>
      </c>
    </row>
    <row r="74" spans="1:7" x14ac:dyDescent="0.2">
      <c r="A74" s="129">
        <v>8653</v>
      </c>
      <c r="B74" s="130" t="s">
        <v>25</v>
      </c>
      <c r="C74" s="122" t="s">
        <v>26</v>
      </c>
      <c r="D74" s="130">
        <v>1</v>
      </c>
      <c r="E74" s="128" t="s">
        <v>23</v>
      </c>
      <c r="F74" s="132">
        <v>35.700000000000003</v>
      </c>
      <c r="G74" s="131">
        <f>F74*200</f>
        <v>7140.0000000000009</v>
      </c>
    </row>
    <row r="75" spans="1:7" x14ac:dyDescent="0.2">
      <c r="A75" s="31"/>
      <c r="B75" s="32"/>
      <c r="C75" s="31"/>
      <c r="D75" s="32"/>
      <c r="E75" s="32"/>
      <c r="F75" s="74"/>
      <c r="G75" s="30"/>
    </row>
    <row r="76" spans="1:7" ht="15" x14ac:dyDescent="0.2">
      <c r="A76" s="227" t="s">
        <v>28</v>
      </c>
      <c r="B76" s="227"/>
      <c r="C76" s="13"/>
      <c r="D76" s="13"/>
      <c r="E76" s="13"/>
      <c r="F76" s="72"/>
      <c r="G76" s="72"/>
    </row>
    <row r="77" spans="1:7" x14ac:dyDescent="0.2">
      <c r="A77" s="12" t="s">
        <v>1</v>
      </c>
      <c r="B77" s="11" t="s">
        <v>2</v>
      </c>
      <c r="C77" s="12" t="s">
        <v>3</v>
      </c>
      <c r="D77" s="11" t="s">
        <v>4</v>
      </c>
      <c r="E77" s="12"/>
      <c r="F77" s="11" t="s">
        <v>5</v>
      </c>
      <c r="G77" s="11" t="s">
        <v>6</v>
      </c>
    </row>
    <row r="78" spans="1:7" x14ac:dyDescent="0.2">
      <c r="A78" s="81">
        <v>8196</v>
      </c>
      <c r="B78" s="82" t="s">
        <v>17</v>
      </c>
      <c r="C78" s="76" t="s">
        <v>18</v>
      </c>
      <c r="D78" s="82">
        <v>1</v>
      </c>
      <c r="E78" s="80" t="s">
        <v>23</v>
      </c>
      <c r="F78" s="84">
        <v>43.1</v>
      </c>
      <c r="G78" s="83">
        <f>F78*5</f>
        <v>215.5</v>
      </c>
    </row>
    <row r="79" spans="1:7" x14ac:dyDescent="0.2">
      <c r="A79" s="129">
        <v>8197</v>
      </c>
      <c r="B79" s="130" t="s">
        <v>19</v>
      </c>
      <c r="C79" s="122" t="s">
        <v>18</v>
      </c>
      <c r="D79" s="130">
        <v>1</v>
      </c>
      <c r="E79" s="128" t="s">
        <v>23</v>
      </c>
      <c r="F79" s="132">
        <v>41.6</v>
      </c>
      <c r="G79" s="131">
        <f>F79*10</f>
        <v>416</v>
      </c>
    </row>
    <row r="80" spans="1:7" x14ac:dyDescent="0.2">
      <c r="A80" s="81">
        <v>8394</v>
      </c>
      <c r="B80" s="82" t="s">
        <v>20</v>
      </c>
      <c r="C80" s="76" t="s">
        <v>18</v>
      </c>
      <c r="D80" s="82">
        <v>1</v>
      </c>
      <c r="E80" s="80" t="s">
        <v>23</v>
      </c>
      <c r="F80" s="84">
        <v>40</v>
      </c>
      <c r="G80" s="83">
        <f>F80*20</f>
        <v>800</v>
      </c>
    </row>
    <row r="81" spans="1:7" x14ac:dyDescent="0.2">
      <c r="A81" s="76"/>
      <c r="B81" s="77"/>
      <c r="C81" s="76"/>
      <c r="D81" s="82">
        <v>3</v>
      </c>
      <c r="E81" s="80" t="s">
        <v>23</v>
      </c>
      <c r="F81" s="84">
        <v>38.4</v>
      </c>
      <c r="G81" s="83">
        <f>F81*60</f>
        <v>2304</v>
      </c>
    </row>
    <row r="82" spans="1:7" x14ac:dyDescent="0.2">
      <c r="A82" s="129">
        <v>8648</v>
      </c>
      <c r="B82" s="130" t="s">
        <v>25</v>
      </c>
      <c r="C82" s="122" t="s">
        <v>26</v>
      </c>
      <c r="D82" s="130">
        <v>1</v>
      </c>
      <c r="E82" s="128" t="s">
        <v>23</v>
      </c>
      <c r="F82" s="132">
        <v>35.700000000000003</v>
      </c>
      <c r="G82" s="131">
        <f>F82*200</f>
        <v>7140.0000000000009</v>
      </c>
    </row>
    <row r="83" spans="1:7" x14ac:dyDescent="0.2">
      <c r="A83" s="31"/>
      <c r="B83" s="32"/>
      <c r="C83" s="31"/>
      <c r="D83" s="32"/>
      <c r="E83" s="32"/>
      <c r="F83" s="74"/>
      <c r="G83" s="30"/>
    </row>
    <row r="84" spans="1:7" ht="15" x14ac:dyDescent="0.2">
      <c r="A84" s="143" t="s">
        <v>29</v>
      </c>
      <c r="B84" s="72"/>
      <c r="C84" s="13"/>
      <c r="D84" s="13"/>
      <c r="E84" s="13"/>
      <c r="F84" s="72"/>
      <c r="G84" s="72"/>
    </row>
    <row r="85" spans="1:7" x14ac:dyDescent="0.2">
      <c r="A85" s="12" t="s">
        <v>1</v>
      </c>
      <c r="B85" s="11" t="s">
        <v>2</v>
      </c>
      <c r="C85" s="12" t="s">
        <v>3</v>
      </c>
      <c r="D85" s="11" t="s">
        <v>4</v>
      </c>
      <c r="E85" s="12"/>
      <c r="F85" s="11" t="s">
        <v>5</v>
      </c>
      <c r="G85" s="11" t="s">
        <v>6</v>
      </c>
    </row>
    <row r="86" spans="1:7" x14ac:dyDescent="0.2">
      <c r="A86" s="76">
        <v>9256</v>
      </c>
      <c r="B86" s="77" t="s">
        <v>14</v>
      </c>
      <c r="C86" s="76" t="s">
        <v>11</v>
      </c>
      <c r="D86" s="77">
        <v>1</v>
      </c>
      <c r="E86" s="77"/>
      <c r="F86" s="84">
        <v>38.5</v>
      </c>
      <c r="G86" s="78">
        <f t="shared" ref="G86:G93" si="2">D86*F86</f>
        <v>38.5</v>
      </c>
    </row>
    <row r="87" spans="1:7" x14ac:dyDescent="0.2">
      <c r="A87" s="76"/>
      <c r="B87" s="77"/>
      <c r="C87" s="76"/>
      <c r="D87" s="77">
        <v>12</v>
      </c>
      <c r="E87" s="77"/>
      <c r="F87" s="84">
        <v>35.299999999999997</v>
      </c>
      <c r="G87" s="78">
        <f t="shared" si="2"/>
        <v>423.59999999999997</v>
      </c>
    </row>
    <row r="88" spans="1:7" x14ac:dyDescent="0.2">
      <c r="A88" s="76"/>
      <c r="B88" s="77"/>
      <c r="C88" s="76"/>
      <c r="D88" s="77">
        <v>24</v>
      </c>
      <c r="E88" s="77"/>
      <c r="F88" s="84">
        <v>33.6</v>
      </c>
      <c r="G88" s="78">
        <f t="shared" si="2"/>
        <v>806.40000000000009</v>
      </c>
    </row>
    <row r="89" spans="1:7" x14ac:dyDescent="0.2">
      <c r="A89" s="76"/>
      <c r="B89" s="77"/>
      <c r="C89" s="76"/>
      <c r="D89" s="77">
        <v>48</v>
      </c>
      <c r="E89" s="77"/>
      <c r="F89" s="84">
        <v>31.9</v>
      </c>
      <c r="G89" s="78">
        <f t="shared" si="2"/>
        <v>1531.1999999999998</v>
      </c>
    </row>
    <row r="90" spans="1:7" x14ac:dyDescent="0.2">
      <c r="A90" s="76">
        <v>8986</v>
      </c>
      <c r="B90" s="77" t="s">
        <v>15</v>
      </c>
      <c r="C90" s="76" t="s">
        <v>8</v>
      </c>
      <c r="D90" s="77">
        <v>1</v>
      </c>
      <c r="E90" s="80"/>
      <c r="F90" s="84">
        <v>66.400000000000006</v>
      </c>
      <c r="G90" s="78">
        <f t="shared" si="2"/>
        <v>66.400000000000006</v>
      </c>
    </row>
    <row r="91" spans="1:7" x14ac:dyDescent="0.2">
      <c r="A91" s="76"/>
      <c r="B91" s="77"/>
      <c r="C91" s="76"/>
      <c r="D91" s="77">
        <v>6</v>
      </c>
      <c r="E91" s="80"/>
      <c r="F91" s="84">
        <v>60.6</v>
      </c>
      <c r="G91" s="78">
        <f t="shared" si="2"/>
        <v>363.6</v>
      </c>
    </row>
    <row r="92" spans="1:7" x14ac:dyDescent="0.2">
      <c r="A92" s="76"/>
      <c r="B92" s="77"/>
      <c r="C92" s="76"/>
      <c r="D92" s="77">
        <v>12</v>
      </c>
      <c r="E92" s="80" t="s">
        <v>23</v>
      </c>
      <c r="F92" s="84">
        <v>57.6</v>
      </c>
      <c r="G92" s="78">
        <f t="shared" si="2"/>
        <v>691.2</v>
      </c>
    </row>
    <row r="93" spans="1:7" x14ac:dyDescent="0.2">
      <c r="A93" s="76"/>
      <c r="B93" s="77"/>
      <c r="C93" s="76"/>
      <c r="D93" s="77">
        <v>24</v>
      </c>
      <c r="E93" s="80" t="s">
        <v>23</v>
      </c>
      <c r="F93" s="84">
        <v>54.7</v>
      </c>
      <c r="G93" s="78">
        <f t="shared" si="2"/>
        <v>1312.8000000000002</v>
      </c>
    </row>
    <row r="94" spans="1:7" x14ac:dyDescent="0.2">
      <c r="A94" s="122">
        <v>8987</v>
      </c>
      <c r="B94" s="123" t="s">
        <v>17</v>
      </c>
      <c r="C94" s="122" t="s">
        <v>18</v>
      </c>
      <c r="D94" s="123">
        <v>1</v>
      </c>
      <c r="E94" s="128" t="s">
        <v>23</v>
      </c>
      <c r="F94" s="132">
        <v>55</v>
      </c>
      <c r="G94" s="125">
        <f>F94*5</f>
        <v>275</v>
      </c>
    </row>
    <row r="95" spans="1:7" x14ac:dyDescent="0.2">
      <c r="A95" s="76">
        <v>8988</v>
      </c>
      <c r="B95" s="77" t="s">
        <v>19</v>
      </c>
      <c r="C95" s="76" t="s">
        <v>18</v>
      </c>
      <c r="D95" s="77">
        <v>1</v>
      </c>
      <c r="E95" s="80" t="s">
        <v>23</v>
      </c>
      <c r="F95" s="84">
        <v>54.4</v>
      </c>
      <c r="G95" s="78">
        <f>F95*10</f>
        <v>544</v>
      </c>
    </row>
    <row r="96" spans="1:7" x14ac:dyDescent="0.2">
      <c r="A96" s="122">
        <v>8989</v>
      </c>
      <c r="B96" s="123" t="s">
        <v>20</v>
      </c>
      <c r="C96" s="122" t="s">
        <v>18</v>
      </c>
      <c r="D96" s="123">
        <v>1</v>
      </c>
      <c r="E96" s="123"/>
      <c r="F96" s="132">
        <v>52.3</v>
      </c>
      <c r="G96" s="125">
        <f>F96*20</f>
        <v>1046</v>
      </c>
    </row>
    <row r="97" spans="1:7" x14ac:dyDescent="0.2">
      <c r="A97" s="122"/>
      <c r="B97" s="123"/>
      <c r="C97" s="122"/>
      <c r="D97" s="124">
        <v>3</v>
      </c>
      <c r="E97" s="124"/>
      <c r="F97" s="132">
        <v>51</v>
      </c>
      <c r="G97" s="125">
        <f>F97*60</f>
        <v>3060</v>
      </c>
    </row>
    <row r="98" spans="1:7" x14ac:dyDescent="0.2">
      <c r="A98" s="3"/>
      <c r="F98" s="4"/>
      <c r="G98" s="4"/>
    </row>
    <row r="99" spans="1:7" ht="15" x14ac:dyDescent="0.2">
      <c r="A99" s="227" t="s">
        <v>30</v>
      </c>
      <c r="B99" s="227"/>
      <c r="C99" s="13"/>
      <c r="D99" s="13"/>
      <c r="E99" s="13"/>
      <c r="F99" s="72"/>
      <c r="G99" s="72"/>
    </row>
    <row r="100" spans="1:7" x14ac:dyDescent="0.2">
      <c r="A100" s="12" t="s">
        <v>1</v>
      </c>
      <c r="B100" s="11" t="s">
        <v>2</v>
      </c>
      <c r="C100" s="12" t="s">
        <v>3</v>
      </c>
      <c r="D100" s="11" t="s">
        <v>4</v>
      </c>
      <c r="E100" s="12"/>
      <c r="F100" s="11" t="s">
        <v>5</v>
      </c>
      <c r="G100" s="11" t="s">
        <v>6</v>
      </c>
    </row>
    <row r="101" spans="1:7" x14ac:dyDescent="0.2">
      <c r="A101" s="76">
        <v>9690</v>
      </c>
      <c r="B101" s="77" t="s">
        <v>15</v>
      </c>
      <c r="C101" s="76" t="s">
        <v>16</v>
      </c>
      <c r="D101" s="77">
        <v>1</v>
      </c>
      <c r="E101" s="80"/>
      <c r="F101" s="84">
        <v>56.9</v>
      </c>
      <c r="G101" s="78">
        <f>D101*F101</f>
        <v>56.9</v>
      </c>
    </row>
    <row r="102" spans="1:7" x14ac:dyDescent="0.2">
      <c r="A102" s="76"/>
      <c r="B102" s="77"/>
      <c r="C102" s="76"/>
      <c r="D102" s="77">
        <v>6</v>
      </c>
      <c r="E102" s="80" t="s">
        <v>23</v>
      </c>
      <c r="F102" s="84">
        <v>51.9</v>
      </c>
      <c r="G102" s="78">
        <f>D102*F102</f>
        <v>311.39999999999998</v>
      </c>
    </row>
    <row r="103" spans="1:7" x14ac:dyDescent="0.2">
      <c r="A103" s="76"/>
      <c r="B103" s="77"/>
      <c r="C103" s="76"/>
      <c r="D103" s="77">
        <v>12</v>
      </c>
      <c r="E103" s="80" t="s">
        <v>23</v>
      </c>
      <c r="F103" s="84">
        <v>49.5</v>
      </c>
      <c r="G103" s="78">
        <f>D103*F103</f>
        <v>594</v>
      </c>
    </row>
    <row r="104" spans="1:7" x14ac:dyDescent="0.2">
      <c r="A104" s="76"/>
      <c r="B104" s="77"/>
      <c r="C104" s="76"/>
      <c r="D104" s="77">
        <v>24</v>
      </c>
      <c r="E104" s="80" t="s">
        <v>23</v>
      </c>
      <c r="F104" s="84">
        <v>47</v>
      </c>
      <c r="G104" s="78">
        <f>D104*F104</f>
        <v>1128</v>
      </c>
    </row>
    <row r="105" spans="1:7" x14ac:dyDescent="0.2">
      <c r="A105" s="122">
        <v>9691</v>
      </c>
      <c r="B105" s="123" t="s">
        <v>17</v>
      </c>
      <c r="C105" s="122" t="s">
        <v>18</v>
      </c>
      <c r="D105" s="123">
        <v>1</v>
      </c>
      <c r="E105" s="123"/>
      <c r="F105" s="132">
        <v>45</v>
      </c>
      <c r="G105" s="125">
        <f>F105*5</f>
        <v>225</v>
      </c>
    </row>
    <row r="106" spans="1:7" x14ac:dyDescent="0.2">
      <c r="A106" s="76">
        <v>9692</v>
      </c>
      <c r="B106" s="77" t="s">
        <v>19</v>
      </c>
      <c r="C106" s="76" t="s">
        <v>18</v>
      </c>
      <c r="D106" s="77">
        <v>1</v>
      </c>
      <c r="E106" s="80"/>
      <c r="F106" s="84">
        <v>42.2</v>
      </c>
      <c r="G106" s="78">
        <f>F106*10</f>
        <v>422</v>
      </c>
    </row>
    <row r="107" spans="1:7" x14ac:dyDescent="0.2">
      <c r="A107" s="122">
        <v>9693</v>
      </c>
      <c r="B107" s="123" t="s">
        <v>20</v>
      </c>
      <c r="C107" s="122" t="s">
        <v>18</v>
      </c>
      <c r="D107" s="123">
        <v>1</v>
      </c>
      <c r="E107" s="128"/>
      <c r="F107" s="132">
        <v>39.799999999999997</v>
      </c>
      <c r="G107" s="125">
        <f>F107*20</f>
        <v>796</v>
      </c>
    </row>
    <row r="108" spans="1:7" x14ac:dyDescent="0.2">
      <c r="A108" s="122"/>
      <c r="B108" s="123"/>
      <c r="C108" s="122"/>
      <c r="D108" s="124">
        <v>3</v>
      </c>
      <c r="E108" s="128" t="s">
        <v>23</v>
      </c>
      <c r="F108" s="132">
        <v>38.1</v>
      </c>
      <c r="G108" s="125">
        <f>F108*60</f>
        <v>2286</v>
      </c>
    </row>
    <row r="109" spans="1:7" x14ac:dyDescent="0.2">
      <c r="A109" s="3"/>
      <c r="D109" s="2"/>
      <c r="E109" s="151"/>
      <c r="F109" s="6"/>
      <c r="G109" s="4"/>
    </row>
    <row r="110" spans="1:7" x14ac:dyDescent="0.2">
      <c r="A110" s="3"/>
      <c r="D110" s="2"/>
      <c r="E110" s="151"/>
      <c r="F110" s="6"/>
      <c r="G110" s="4"/>
    </row>
    <row r="111" spans="1:7" x14ac:dyDescent="0.2">
      <c r="A111" s="20"/>
      <c r="B111" s="21"/>
      <c r="C111" s="20"/>
      <c r="D111" s="21"/>
      <c r="E111" s="21"/>
      <c r="F111" s="75"/>
      <c r="G111" s="19"/>
    </row>
    <row r="112" spans="1:7" x14ac:dyDescent="0.2">
      <c r="A112" s="20"/>
      <c r="B112" s="21"/>
      <c r="C112" s="20"/>
      <c r="D112" s="21"/>
      <c r="E112" s="21"/>
      <c r="F112" s="75"/>
      <c r="G112" s="19"/>
    </row>
    <row r="113" spans="1:7" x14ac:dyDescent="0.2">
      <c r="A113" s="3"/>
      <c r="F113" s="73"/>
      <c r="G113" s="73"/>
    </row>
    <row r="114" spans="1:7" x14ac:dyDescent="0.2">
      <c r="A114" s="3"/>
      <c r="F114" s="73"/>
      <c r="G114" s="73"/>
    </row>
    <row r="115" spans="1:7" x14ac:dyDescent="0.2">
      <c r="A115" s="3"/>
      <c r="F115" s="73"/>
      <c r="G115" s="73"/>
    </row>
    <row r="116" spans="1:7" x14ac:dyDescent="0.2">
      <c r="A116" s="3"/>
      <c r="F116" s="73"/>
      <c r="G116" s="73"/>
    </row>
    <row r="117" spans="1:7" x14ac:dyDescent="0.2">
      <c r="A117" s="3"/>
      <c r="F117" s="73"/>
      <c r="G117" s="73"/>
    </row>
    <row r="123" spans="1:7" x14ac:dyDescent="0.2">
      <c r="G123" s="7"/>
    </row>
  </sheetData>
  <mergeCells count="5">
    <mergeCell ref="A99:B99"/>
    <mergeCell ref="A76:B76"/>
    <mergeCell ref="A1:G3"/>
    <mergeCell ref="A59:B59"/>
    <mergeCell ref="A68:B68"/>
  </mergeCells>
  <phoneticPr fontId="0" type="noConversion"/>
  <printOptions horizontalCentered="1"/>
  <pageMargins left="0" right="0" top="0.19685039370078741" bottom="0.59055118110236227" header="0.31496062992125984" footer="0.31496062992125984"/>
  <pageSetup paperSize="9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3B99-640B-4309-8F2C-58FA4DE7C953}">
  <sheetPr codeName="Blad15"/>
  <dimension ref="A1:K153"/>
  <sheetViews>
    <sheetView showGridLines="0" topLeftCell="A127" zoomScaleNormal="100" workbookViewId="0">
      <selection activeCell="A141" sqref="A141:G153"/>
    </sheetView>
  </sheetViews>
  <sheetFormatPr defaultColWidth="9.140625" defaultRowHeight="12.75" x14ac:dyDescent="0.2"/>
  <cols>
    <col min="1" max="1" width="13.7109375" style="1" customWidth="1"/>
    <col min="2" max="2" width="11.42578125" style="1" customWidth="1"/>
    <col min="3" max="3" width="20.28515625" style="3" customWidth="1"/>
    <col min="4" max="4" width="8.140625" style="1" customWidth="1"/>
    <col min="5" max="5" width="2.140625" style="1" customWidth="1"/>
    <col min="6" max="6" width="19.42578125" style="1" customWidth="1"/>
    <col min="7" max="7" width="20.28515625" style="1" customWidth="1"/>
    <col min="8" max="8" width="9.140625" style="1"/>
    <col min="9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D4" s="2"/>
      <c r="E4" s="2"/>
      <c r="F4" s="2"/>
      <c r="G4" s="2"/>
    </row>
    <row r="5" spans="1:7" ht="15" x14ac:dyDescent="0.2">
      <c r="A5" s="143" t="s">
        <v>31</v>
      </c>
      <c r="B5" s="13"/>
      <c r="C5" s="13"/>
      <c r="D5" s="13"/>
      <c r="E5" s="13"/>
      <c r="F5" s="13"/>
      <c r="G5" s="13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12"/>
      <c r="F6" s="11" t="s">
        <v>5</v>
      </c>
      <c r="G6" s="11" t="s">
        <v>6</v>
      </c>
    </row>
    <row r="7" spans="1:7" ht="12.75" customHeight="1" x14ac:dyDescent="0.2">
      <c r="A7" s="76">
        <v>9197</v>
      </c>
      <c r="B7" s="77" t="s">
        <v>14</v>
      </c>
      <c r="C7" s="76" t="s">
        <v>11</v>
      </c>
      <c r="D7" s="77">
        <v>1</v>
      </c>
      <c r="E7" s="77"/>
      <c r="F7" s="84">
        <v>30.2</v>
      </c>
      <c r="G7" s="78">
        <f t="shared" ref="G7:G14" si="0">D7*F7</f>
        <v>30.2</v>
      </c>
    </row>
    <row r="8" spans="1:7" x14ac:dyDescent="0.2">
      <c r="A8" s="76"/>
      <c r="B8" s="79"/>
      <c r="C8" s="76"/>
      <c r="D8" s="77">
        <v>12</v>
      </c>
      <c r="E8" s="77"/>
      <c r="F8" s="84">
        <v>28.8</v>
      </c>
      <c r="G8" s="78">
        <f t="shared" si="0"/>
        <v>345.6</v>
      </c>
    </row>
    <row r="9" spans="1:7" x14ac:dyDescent="0.2">
      <c r="A9" s="76"/>
      <c r="B9" s="79"/>
      <c r="C9" s="76"/>
      <c r="D9" s="77">
        <v>24</v>
      </c>
      <c r="E9" s="77"/>
      <c r="F9" s="84">
        <v>27.4</v>
      </c>
      <c r="G9" s="78">
        <f t="shared" si="0"/>
        <v>657.59999999999991</v>
      </c>
    </row>
    <row r="10" spans="1:7" x14ac:dyDescent="0.2">
      <c r="A10" s="76"/>
      <c r="B10" s="79"/>
      <c r="C10" s="76"/>
      <c r="D10" s="77">
        <v>48</v>
      </c>
      <c r="E10" s="77"/>
      <c r="F10" s="84">
        <v>26</v>
      </c>
      <c r="G10" s="78">
        <f t="shared" si="0"/>
        <v>1248</v>
      </c>
    </row>
    <row r="11" spans="1:7" x14ac:dyDescent="0.2">
      <c r="A11" s="122">
        <v>8249</v>
      </c>
      <c r="B11" s="123" t="s">
        <v>15</v>
      </c>
      <c r="C11" s="122" t="s">
        <v>16</v>
      </c>
      <c r="D11" s="123">
        <v>1</v>
      </c>
      <c r="E11" s="123"/>
      <c r="F11" s="132">
        <v>61.2</v>
      </c>
      <c r="G11" s="125">
        <f t="shared" si="0"/>
        <v>61.2</v>
      </c>
    </row>
    <row r="12" spans="1:7" x14ac:dyDescent="0.2">
      <c r="A12" s="122"/>
      <c r="B12" s="133"/>
      <c r="C12" s="122"/>
      <c r="D12" s="123">
        <v>6</v>
      </c>
      <c r="E12" s="123"/>
      <c r="F12" s="132">
        <v>58.4</v>
      </c>
      <c r="G12" s="125">
        <f t="shared" si="0"/>
        <v>350.4</v>
      </c>
    </row>
    <row r="13" spans="1:7" x14ac:dyDescent="0.2">
      <c r="A13" s="122"/>
      <c r="B13" s="134"/>
      <c r="C13" s="122"/>
      <c r="D13" s="123">
        <v>12</v>
      </c>
      <c r="E13" s="123"/>
      <c r="F13" s="132">
        <v>55.6</v>
      </c>
      <c r="G13" s="125">
        <f t="shared" si="0"/>
        <v>667.2</v>
      </c>
    </row>
    <row r="14" spans="1:7" x14ac:dyDescent="0.2">
      <c r="A14" s="122"/>
      <c r="B14" s="122"/>
      <c r="C14" s="122"/>
      <c r="D14" s="123">
        <v>24</v>
      </c>
      <c r="E14" s="123"/>
      <c r="F14" s="132">
        <v>52.8</v>
      </c>
      <c r="G14" s="125">
        <f t="shared" si="0"/>
        <v>1267.1999999999998</v>
      </c>
    </row>
    <row r="15" spans="1:7" ht="12.75" customHeight="1" x14ac:dyDescent="0.2">
      <c r="A15" s="76">
        <v>8250</v>
      </c>
      <c r="B15" s="77" t="s">
        <v>17</v>
      </c>
      <c r="C15" s="76" t="s">
        <v>18</v>
      </c>
      <c r="D15" s="77">
        <v>1</v>
      </c>
      <c r="E15" s="77"/>
      <c r="F15" s="84">
        <v>53.9</v>
      </c>
      <c r="G15" s="78">
        <f>F15*5</f>
        <v>269.5</v>
      </c>
    </row>
    <row r="16" spans="1:7" x14ac:dyDescent="0.2">
      <c r="A16" s="122">
        <v>8194</v>
      </c>
      <c r="B16" s="123" t="s">
        <v>19</v>
      </c>
      <c r="C16" s="122" t="s">
        <v>18</v>
      </c>
      <c r="D16" s="123">
        <v>1</v>
      </c>
      <c r="E16" s="123"/>
      <c r="F16" s="132">
        <v>52.3</v>
      </c>
      <c r="G16" s="125">
        <f>F16*10</f>
        <v>523</v>
      </c>
    </row>
    <row r="17" spans="1:7" x14ac:dyDescent="0.2">
      <c r="A17" s="76">
        <v>8466</v>
      </c>
      <c r="B17" s="77" t="s">
        <v>20</v>
      </c>
      <c r="C17" s="76" t="s">
        <v>18</v>
      </c>
      <c r="D17" s="77">
        <v>1</v>
      </c>
      <c r="E17" s="77"/>
      <c r="F17" s="84">
        <v>50</v>
      </c>
      <c r="G17" s="78">
        <f>F17*20</f>
        <v>1000</v>
      </c>
    </row>
    <row r="18" spans="1:7" x14ac:dyDescent="0.2">
      <c r="A18" s="76"/>
      <c r="B18" s="79"/>
      <c r="C18" s="76"/>
      <c r="D18" s="79">
        <v>3</v>
      </c>
      <c r="E18" s="79"/>
      <c r="F18" s="84">
        <v>48.6</v>
      </c>
      <c r="G18" s="78">
        <f>F18*60</f>
        <v>2916</v>
      </c>
    </row>
    <row r="19" spans="1:7" x14ac:dyDescent="0.2">
      <c r="A19" s="3"/>
      <c r="D19" s="2"/>
      <c r="E19" s="2"/>
      <c r="F19" s="6"/>
      <c r="G19" s="4"/>
    </row>
    <row r="20" spans="1:7" ht="15" x14ac:dyDescent="0.2">
      <c r="A20" s="227" t="s">
        <v>32</v>
      </c>
      <c r="B20" s="227"/>
      <c r="C20" s="13"/>
      <c r="D20" s="13"/>
      <c r="E20" s="13"/>
      <c r="F20" s="13"/>
      <c r="G20" s="13"/>
    </row>
    <row r="21" spans="1:7" x14ac:dyDescent="0.2">
      <c r="A21" s="12" t="s">
        <v>1</v>
      </c>
      <c r="B21" s="11" t="s">
        <v>2</v>
      </c>
      <c r="C21" s="12" t="s">
        <v>3</v>
      </c>
      <c r="D21" s="11" t="s">
        <v>4</v>
      </c>
      <c r="E21" s="12"/>
      <c r="F21" s="11" t="s">
        <v>5</v>
      </c>
      <c r="G21" s="11" t="s">
        <v>6</v>
      </c>
    </row>
    <row r="22" spans="1:7" ht="12.75" customHeight="1" x14ac:dyDescent="0.2">
      <c r="A22" s="81">
        <v>8443</v>
      </c>
      <c r="B22" s="82" t="s">
        <v>17</v>
      </c>
      <c r="C22" s="76" t="s">
        <v>18</v>
      </c>
      <c r="D22" s="82">
        <v>1</v>
      </c>
      <c r="E22" s="82"/>
      <c r="F22" s="84">
        <v>43.1</v>
      </c>
      <c r="G22" s="83">
        <f>F22*5</f>
        <v>215.5</v>
      </c>
    </row>
    <row r="23" spans="1:7" x14ac:dyDescent="0.2">
      <c r="A23" s="129">
        <v>8444</v>
      </c>
      <c r="B23" s="130" t="s">
        <v>19</v>
      </c>
      <c r="C23" s="122" t="s">
        <v>18</v>
      </c>
      <c r="D23" s="130">
        <v>1</v>
      </c>
      <c r="E23" s="130"/>
      <c r="F23" s="132">
        <v>41.6</v>
      </c>
      <c r="G23" s="131">
        <f>F23*10</f>
        <v>416</v>
      </c>
    </row>
    <row r="24" spans="1:7" x14ac:dyDescent="0.2">
      <c r="A24" s="81">
        <v>8445</v>
      </c>
      <c r="B24" s="82" t="s">
        <v>20</v>
      </c>
      <c r="C24" s="76" t="s">
        <v>18</v>
      </c>
      <c r="D24" s="82">
        <v>1</v>
      </c>
      <c r="E24" s="82"/>
      <c r="F24" s="84">
        <v>40</v>
      </c>
      <c r="G24" s="83">
        <f>F24*20</f>
        <v>800</v>
      </c>
    </row>
    <row r="25" spans="1:7" x14ac:dyDescent="0.2">
      <c r="A25" s="81"/>
      <c r="B25" s="82"/>
      <c r="C25" s="76"/>
      <c r="D25" s="82">
        <v>3</v>
      </c>
      <c r="E25" s="80" t="s">
        <v>23</v>
      </c>
      <c r="F25" s="84">
        <v>38.4</v>
      </c>
      <c r="G25" s="83">
        <f>F25*60</f>
        <v>2304</v>
      </c>
    </row>
    <row r="26" spans="1:7" x14ac:dyDescent="0.2">
      <c r="A26" s="129">
        <v>8776</v>
      </c>
      <c r="B26" s="130" t="s">
        <v>25</v>
      </c>
      <c r="C26" s="122" t="s">
        <v>26</v>
      </c>
      <c r="D26" s="130">
        <v>1</v>
      </c>
      <c r="E26" s="128" t="s">
        <v>23</v>
      </c>
      <c r="F26" s="132">
        <v>35.700000000000003</v>
      </c>
      <c r="G26" s="131">
        <f>F26*200</f>
        <v>7140.0000000000009</v>
      </c>
    </row>
    <row r="27" spans="1:7" x14ac:dyDescent="0.2">
      <c r="C27" s="1"/>
    </row>
    <row r="28" spans="1:7" ht="15" x14ac:dyDescent="0.2">
      <c r="A28" s="227" t="s">
        <v>546</v>
      </c>
      <c r="B28" s="227"/>
      <c r="C28" s="227"/>
      <c r="D28" s="227"/>
      <c r="E28" s="13"/>
      <c r="F28" s="13"/>
      <c r="G28" s="13"/>
    </row>
    <row r="29" spans="1:7" x14ac:dyDescent="0.2">
      <c r="A29" s="12" t="s">
        <v>1</v>
      </c>
      <c r="B29" s="11" t="s">
        <v>2</v>
      </c>
      <c r="C29" s="12" t="s">
        <v>3</v>
      </c>
      <c r="D29" s="11" t="s">
        <v>4</v>
      </c>
      <c r="E29" s="12"/>
      <c r="F29" s="11" t="s">
        <v>5</v>
      </c>
      <c r="G29" s="11" t="s">
        <v>6</v>
      </c>
    </row>
    <row r="30" spans="1:7" x14ac:dyDescent="0.2">
      <c r="A30" s="81">
        <v>6724</v>
      </c>
      <c r="B30" s="82" t="s">
        <v>15</v>
      </c>
      <c r="C30" s="76" t="s">
        <v>16</v>
      </c>
      <c r="D30" s="82">
        <v>6</v>
      </c>
      <c r="E30" s="80" t="s">
        <v>23</v>
      </c>
      <c r="F30" s="84">
        <v>60</v>
      </c>
      <c r="G30" s="83">
        <f>F30*D30</f>
        <v>360</v>
      </c>
    </row>
    <row r="31" spans="1:7" x14ac:dyDescent="0.2">
      <c r="A31" s="81"/>
      <c r="B31" s="82"/>
      <c r="C31" s="76"/>
      <c r="D31" s="82">
        <v>12</v>
      </c>
      <c r="E31" s="80" t="s">
        <v>23</v>
      </c>
      <c r="F31" s="84">
        <v>57.2</v>
      </c>
      <c r="G31" s="83">
        <f>F31*D31</f>
        <v>686.40000000000009</v>
      </c>
    </row>
    <row r="32" spans="1:7" x14ac:dyDescent="0.2">
      <c r="A32" s="81"/>
      <c r="B32" s="82"/>
      <c r="C32" s="76"/>
      <c r="D32" s="82">
        <v>24</v>
      </c>
      <c r="E32" s="80" t="s">
        <v>23</v>
      </c>
      <c r="F32" s="84">
        <v>54.3</v>
      </c>
      <c r="G32" s="83">
        <f>F32*D32</f>
        <v>1303.1999999999998</v>
      </c>
    </row>
    <row r="33" spans="1:7" x14ac:dyDescent="0.2">
      <c r="A33" s="129">
        <v>6725</v>
      </c>
      <c r="B33" s="130" t="s">
        <v>17</v>
      </c>
      <c r="C33" s="122" t="s">
        <v>18</v>
      </c>
      <c r="D33" s="130">
        <v>1</v>
      </c>
      <c r="E33" s="130"/>
      <c r="F33" s="132">
        <v>54</v>
      </c>
      <c r="G33" s="131">
        <f>F33*5</f>
        <v>270</v>
      </c>
    </row>
    <row r="34" spans="1:7" x14ac:dyDescent="0.2">
      <c r="A34" s="81">
        <v>6726</v>
      </c>
      <c r="B34" s="82" t="s">
        <v>19</v>
      </c>
      <c r="C34" s="76" t="s">
        <v>18</v>
      </c>
      <c r="D34" s="82">
        <v>1</v>
      </c>
      <c r="E34" s="82"/>
      <c r="F34" s="84">
        <v>52.3</v>
      </c>
      <c r="G34" s="83">
        <f>F34*10</f>
        <v>523</v>
      </c>
    </row>
    <row r="35" spans="1:7" x14ac:dyDescent="0.2">
      <c r="A35" s="129">
        <v>6727</v>
      </c>
      <c r="B35" s="130" t="s">
        <v>20</v>
      </c>
      <c r="C35" s="122" t="s">
        <v>18</v>
      </c>
      <c r="D35" s="130">
        <v>1</v>
      </c>
      <c r="E35" s="130"/>
      <c r="F35" s="132">
        <v>50</v>
      </c>
      <c r="G35" s="131">
        <f>F35*20</f>
        <v>1000</v>
      </c>
    </row>
    <row r="36" spans="1:7" x14ac:dyDescent="0.2">
      <c r="A36" s="129"/>
      <c r="B36" s="130"/>
      <c r="C36" s="122"/>
      <c r="D36" s="130">
        <v>3</v>
      </c>
      <c r="E36" s="130" t="s">
        <v>23</v>
      </c>
      <c r="F36" s="132">
        <v>48.6</v>
      </c>
      <c r="G36" s="131">
        <f>F36*60</f>
        <v>2916</v>
      </c>
    </row>
    <row r="37" spans="1:7" x14ac:dyDescent="0.2">
      <c r="A37" s="26"/>
      <c r="B37" s="27"/>
      <c r="D37" s="27"/>
      <c r="E37" s="151"/>
      <c r="F37" s="6"/>
      <c r="G37" s="28"/>
    </row>
    <row r="38" spans="1:7" ht="15" x14ac:dyDescent="0.2">
      <c r="A38" s="143" t="s">
        <v>33</v>
      </c>
      <c r="B38" s="13"/>
      <c r="C38" s="13"/>
      <c r="D38" s="13"/>
      <c r="E38" s="13"/>
      <c r="F38" s="13"/>
      <c r="G38" s="13"/>
    </row>
    <row r="39" spans="1:7" x14ac:dyDescent="0.2">
      <c r="A39" s="12" t="s">
        <v>1</v>
      </c>
      <c r="B39" s="11" t="s">
        <v>2</v>
      </c>
      <c r="C39" s="12" t="s">
        <v>3</v>
      </c>
      <c r="D39" s="11" t="s">
        <v>4</v>
      </c>
      <c r="E39" s="12"/>
      <c r="F39" s="11" t="s">
        <v>5</v>
      </c>
      <c r="G39" s="11" t="s">
        <v>6</v>
      </c>
    </row>
    <row r="40" spans="1:7" ht="12.75" customHeight="1" x14ac:dyDescent="0.2">
      <c r="A40" s="76">
        <v>9258</v>
      </c>
      <c r="B40" s="77" t="s">
        <v>14</v>
      </c>
      <c r="C40" s="76" t="s">
        <v>11</v>
      </c>
      <c r="D40" s="77">
        <v>1</v>
      </c>
      <c r="E40" s="77"/>
      <c r="F40" s="84">
        <v>36.1</v>
      </c>
      <c r="G40" s="78">
        <f>D40*F40</f>
        <v>36.1</v>
      </c>
    </row>
    <row r="41" spans="1:7" x14ac:dyDescent="0.2">
      <c r="A41" s="76"/>
      <c r="B41" s="79"/>
      <c r="C41" s="76"/>
      <c r="D41" s="77">
        <v>12</v>
      </c>
      <c r="E41" s="77"/>
      <c r="F41" s="84">
        <v>32.799999999999997</v>
      </c>
      <c r="G41" s="78">
        <f>D41*F41</f>
        <v>393.59999999999997</v>
      </c>
    </row>
    <row r="42" spans="1:7" x14ac:dyDescent="0.2">
      <c r="A42" s="76"/>
      <c r="B42" s="79"/>
      <c r="C42" s="76"/>
      <c r="D42" s="77">
        <v>24</v>
      </c>
      <c r="E42" s="77"/>
      <c r="F42" s="84">
        <v>31.1</v>
      </c>
      <c r="G42" s="78">
        <f>D42*F42</f>
        <v>746.40000000000009</v>
      </c>
    </row>
    <row r="43" spans="1:7" x14ac:dyDescent="0.2">
      <c r="A43" s="76"/>
      <c r="B43" s="79"/>
      <c r="C43" s="76"/>
      <c r="D43" s="77">
        <v>48</v>
      </c>
      <c r="E43" s="77"/>
      <c r="F43" s="84">
        <v>29.8</v>
      </c>
      <c r="G43" s="78">
        <f>D43*F43</f>
        <v>1430.4</v>
      </c>
    </row>
    <row r="44" spans="1:7" x14ac:dyDescent="0.2">
      <c r="C44" s="1"/>
    </row>
    <row r="45" spans="1:7" ht="15" x14ac:dyDescent="0.2">
      <c r="A45" s="167" t="s">
        <v>34</v>
      </c>
      <c r="B45" s="167"/>
      <c r="C45" s="13"/>
      <c r="D45" s="13"/>
      <c r="E45" s="13"/>
      <c r="F45" s="13"/>
      <c r="G45" s="13"/>
    </row>
    <row r="46" spans="1:7" x14ac:dyDescent="0.2">
      <c r="A46" s="12" t="s">
        <v>1</v>
      </c>
      <c r="B46" s="11" t="s">
        <v>2</v>
      </c>
      <c r="C46" s="12" t="s">
        <v>3</v>
      </c>
      <c r="D46" s="11" t="s">
        <v>4</v>
      </c>
      <c r="E46" s="12"/>
      <c r="F46" s="11" t="s">
        <v>5</v>
      </c>
      <c r="G46" s="11" t="s">
        <v>6</v>
      </c>
    </row>
    <row r="47" spans="1:7" x14ac:dyDescent="0.2">
      <c r="A47" s="81">
        <v>8934</v>
      </c>
      <c r="B47" s="82" t="s">
        <v>17</v>
      </c>
      <c r="C47" s="76" t="s">
        <v>18</v>
      </c>
      <c r="D47" s="82">
        <v>1</v>
      </c>
      <c r="E47" s="80"/>
      <c r="F47" s="84">
        <v>59.1</v>
      </c>
      <c r="G47" s="83">
        <f>F47*5</f>
        <v>295.5</v>
      </c>
    </row>
    <row r="48" spans="1:7" x14ac:dyDescent="0.2">
      <c r="A48" s="129">
        <v>8935</v>
      </c>
      <c r="B48" s="130" t="s">
        <v>19</v>
      </c>
      <c r="C48" s="122" t="s">
        <v>18</v>
      </c>
      <c r="D48" s="130">
        <v>1</v>
      </c>
      <c r="E48" s="130"/>
      <c r="F48" s="132">
        <v>57.5</v>
      </c>
      <c r="G48" s="131">
        <f>F48*10</f>
        <v>575</v>
      </c>
    </row>
    <row r="49" spans="1:7" x14ac:dyDescent="0.2">
      <c r="A49" s="81">
        <v>8936</v>
      </c>
      <c r="B49" s="82" t="s">
        <v>20</v>
      </c>
      <c r="C49" s="76" t="s">
        <v>18</v>
      </c>
      <c r="D49" s="82">
        <v>1</v>
      </c>
      <c r="E49" s="82"/>
      <c r="F49" s="84">
        <v>56.1</v>
      </c>
      <c r="G49" s="83">
        <f>F49*20</f>
        <v>1122</v>
      </c>
    </row>
    <row r="50" spans="1:7" x14ac:dyDescent="0.2">
      <c r="A50" s="81"/>
      <c r="B50" s="82"/>
      <c r="C50" s="76"/>
      <c r="D50" s="82">
        <v>3</v>
      </c>
      <c r="E50" s="80" t="s">
        <v>23</v>
      </c>
      <c r="F50" s="84">
        <v>51.3</v>
      </c>
      <c r="G50" s="83">
        <f>F50*60</f>
        <v>3078</v>
      </c>
    </row>
    <row r="51" spans="1:7" x14ac:dyDescent="0.2">
      <c r="A51" s="26"/>
      <c r="B51" s="27"/>
      <c r="D51" s="27"/>
      <c r="E51" s="151"/>
      <c r="F51" s="6"/>
      <c r="G51" s="28"/>
    </row>
    <row r="52" spans="1:7" ht="15" x14ac:dyDescent="0.2">
      <c r="A52" s="167" t="s">
        <v>35</v>
      </c>
      <c r="B52" s="167"/>
      <c r="C52" s="13"/>
      <c r="D52" s="13"/>
      <c r="E52" s="13"/>
      <c r="F52" s="13"/>
      <c r="G52" s="13"/>
    </row>
    <row r="53" spans="1:7" x14ac:dyDescent="0.2">
      <c r="A53" s="12" t="s">
        <v>1</v>
      </c>
      <c r="B53" s="11" t="s">
        <v>2</v>
      </c>
      <c r="C53" s="12" t="s">
        <v>3</v>
      </c>
      <c r="D53" s="11" t="s">
        <v>4</v>
      </c>
      <c r="E53" s="12"/>
      <c r="F53" s="11" t="s">
        <v>5</v>
      </c>
      <c r="G53" s="11" t="s">
        <v>6</v>
      </c>
    </row>
    <row r="54" spans="1:7" x14ac:dyDescent="0.2">
      <c r="A54" s="81">
        <v>9284</v>
      </c>
      <c r="B54" s="82" t="s">
        <v>17</v>
      </c>
      <c r="C54" s="76" t="s">
        <v>18</v>
      </c>
      <c r="D54" s="82">
        <v>1</v>
      </c>
      <c r="E54" s="80" t="s">
        <v>23</v>
      </c>
      <c r="F54" s="84">
        <v>110.1</v>
      </c>
      <c r="G54" s="83">
        <f>F54*5</f>
        <v>550.5</v>
      </c>
    </row>
    <row r="55" spans="1:7" x14ac:dyDescent="0.2">
      <c r="A55" s="129">
        <v>9285</v>
      </c>
      <c r="B55" s="130" t="s">
        <v>19</v>
      </c>
      <c r="C55" s="122" t="s">
        <v>18</v>
      </c>
      <c r="D55" s="130">
        <v>1</v>
      </c>
      <c r="E55" s="128" t="s">
        <v>23</v>
      </c>
      <c r="F55" s="132">
        <v>108.6</v>
      </c>
      <c r="G55" s="131">
        <f>F55*10</f>
        <v>1086</v>
      </c>
    </row>
    <row r="56" spans="1:7" x14ac:dyDescent="0.2">
      <c r="A56" s="81">
        <v>9286</v>
      </c>
      <c r="B56" s="82" t="s">
        <v>20</v>
      </c>
      <c r="C56" s="76" t="s">
        <v>18</v>
      </c>
      <c r="D56" s="82">
        <v>1</v>
      </c>
      <c r="E56" s="80" t="s">
        <v>23</v>
      </c>
      <c r="F56" s="84">
        <v>106.3</v>
      </c>
      <c r="G56" s="83">
        <f>F56*20</f>
        <v>2126</v>
      </c>
    </row>
    <row r="57" spans="1:7" x14ac:dyDescent="0.2">
      <c r="A57" s="81"/>
      <c r="B57" s="82"/>
      <c r="C57" s="76"/>
      <c r="D57" s="82">
        <v>3</v>
      </c>
      <c r="E57" s="80" t="s">
        <v>23</v>
      </c>
      <c r="F57" s="84">
        <v>105.7</v>
      </c>
      <c r="G57" s="83">
        <f>F57*60</f>
        <v>6342</v>
      </c>
    </row>
    <row r="59" spans="1:7" ht="15" x14ac:dyDescent="0.2">
      <c r="A59" s="227" t="s">
        <v>36</v>
      </c>
      <c r="B59" s="227"/>
      <c r="C59" s="13"/>
      <c r="D59" s="13"/>
      <c r="E59" s="13"/>
      <c r="F59" s="13"/>
      <c r="G59" s="13"/>
    </row>
    <row r="60" spans="1:7" x14ac:dyDescent="0.2">
      <c r="A60" s="12" t="s">
        <v>1</v>
      </c>
      <c r="B60" s="11" t="s">
        <v>2</v>
      </c>
      <c r="C60" s="12" t="s">
        <v>3</v>
      </c>
      <c r="D60" s="11" t="s">
        <v>4</v>
      </c>
      <c r="E60" s="12"/>
      <c r="F60" s="11" t="s">
        <v>5</v>
      </c>
      <c r="G60" s="11" t="s">
        <v>6</v>
      </c>
    </row>
    <row r="61" spans="1:7" x14ac:dyDescent="0.2">
      <c r="A61" s="81">
        <v>8595</v>
      </c>
      <c r="B61" s="82" t="s">
        <v>17</v>
      </c>
      <c r="C61" s="76" t="s">
        <v>18</v>
      </c>
      <c r="D61" s="82">
        <v>1</v>
      </c>
      <c r="E61" s="82"/>
      <c r="F61" s="84">
        <v>45.1</v>
      </c>
      <c r="G61" s="83">
        <f>F61*5</f>
        <v>225.5</v>
      </c>
    </row>
    <row r="62" spans="1:7" x14ac:dyDescent="0.2">
      <c r="A62" s="129">
        <v>8596</v>
      </c>
      <c r="B62" s="130" t="s">
        <v>19</v>
      </c>
      <c r="C62" s="122" t="s">
        <v>18</v>
      </c>
      <c r="D62" s="130">
        <v>1</v>
      </c>
      <c r="E62" s="130"/>
      <c r="F62" s="132">
        <v>44.8</v>
      </c>
      <c r="G62" s="131">
        <f>F62*10</f>
        <v>448</v>
      </c>
    </row>
    <row r="63" spans="1:7" x14ac:dyDescent="0.2">
      <c r="A63" s="81">
        <v>8597</v>
      </c>
      <c r="B63" s="82" t="s">
        <v>20</v>
      </c>
      <c r="C63" s="76" t="s">
        <v>18</v>
      </c>
      <c r="D63" s="82">
        <v>1</v>
      </c>
      <c r="E63" s="82"/>
      <c r="F63" s="84">
        <v>41.7</v>
      </c>
      <c r="G63" s="83">
        <f>F63*20</f>
        <v>834</v>
      </c>
    </row>
    <row r="64" spans="1:7" x14ac:dyDescent="0.2">
      <c r="A64" s="129">
        <v>8598</v>
      </c>
      <c r="B64" s="130" t="s">
        <v>37</v>
      </c>
      <c r="C64" s="122" t="s">
        <v>26</v>
      </c>
      <c r="D64" s="130">
        <v>1</v>
      </c>
      <c r="E64" s="128" t="s">
        <v>23</v>
      </c>
      <c r="F64" s="132">
        <v>41.2</v>
      </c>
      <c r="G64" s="131">
        <f>F64*30</f>
        <v>1236</v>
      </c>
    </row>
    <row r="65" spans="1:7" x14ac:dyDescent="0.2">
      <c r="A65" s="81">
        <v>8599</v>
      </c>
      <c r="B65" s="82" t="s">
        <v>38</v>
      </c>
      <c r="C65" s="76" t="s">
        <v>26</v>
      </c>
      <c r="D65" s="82">
        <v>1</v>
      </c>
      <c r="E65" s="80" t="s">
        <v>23</v>
      </c>
      <c r="F65" s="84">
        <v>40.299999999999997</v>
      </c>
      <c r="G65" s="83">
        <f>F65*60</f>
        <v>2418</v>
      </c>
    </row>
    <row r="66" spans="1:7" x14ac:dyDescent="0.2">
      <c r="A66" s="129">
        <v>8698</v>
      </c>
      <c r="B66" s="130" t="s">
        <v>25</v>
      </c>
      <c r="C66" s="122" t="s">
        <v>26</v>
      </c>
      <c r="D66" s="130">
        <v>1</v>
      </c>
      <c r="E66" s="128" t="s">
        <v>23</v>
      </c>
      <c r="F66" s="132">
        <v>36.700000000000003</v>
      </c>
      <c r="G66" s="131">
        <f>F66*200</f>
        <v>7340.0000000000009</v>
      </c>
    </row>
    <row r="67" spans="1:7" x14ac:dyDescent="0.2">
      <c r="A67" s="228"/>
      <c r="B67" s="228"/>
      <c r="C67" s="34"/>
      <c r="D67" s="34"/>
      <c r="E67" s="34"/>
      <c r="F67" s="34"/>
      <c r="G67" s="34"/>
    </row>
    <row r="68" spans="1:7" ht="15" x14ac:dyDescent="0.2">
      <c r="A68" s="227" t="s">
        <v>39</v>
      </c>
      <c r="B68" s="227"/>
      <c r="C68" s="13"/>
      <c r="D68" s="13"/>
      <c r="E68" s="13"/>
      <c r="F68" s="13"/>
      <c r="G68" s="13"/>
    </row>
    <row r="69" spans="1:7" x14ac:dyDescent="0.2">
      <c r="A69" s="12" t="s">
        <v>1</v>
      </c>
      <c r="B69" s="11" t="s">
        <v>2</v>
      </c>
      <c r="C69" s="12" t="s">
        <v>3</v>
      </c>
      <c r="D69" s="11" t="s">
        <v>4</v>
      </c>
      <c r="E69" s="12"/>
      <c r="F69" s="11" t="s">
        <v>5</v>
      </c>
      <c r="G69" s="11" t="s">
        <v>6</v>
      </c>
    </row>
    <row r="70" spans="1:7" x14ac:dyDescent="0.2">
      <c r="A70" s="81">
        <v>8602</v>
      </c>
      <c r="B70" s="82" t="s">
        <v>17</v>
      </c>
      <c r="C70" s="76" t="s">
        <v>18</v>
      </c>
      <c r="D70" s="82">
        <v>1</v>
      </c>
      <c r="E70" s="82"/>
      <c r="F70" s="84">
        <v>45.1</v>
      </c>
      <c r="G70" s="83">
        <f>F70*5</f>
        <v>225.5</v>
      </c>
    </row>
    <row r="71" spans="1:7" x14ac:dyDescent="0.2">
      <c r="A71" s="129">
        <v>8603</v>
      </c>
      <c r="B71" s="130" t="s">
        <v>19</v>
      </c>
      <c r="C71" s="122" t="s">
        <v>18</v>
      </c>
      <c r="D71" s="130">
        <v>1</v>
      </c>
      <c r="E71" s="130"/>
      <c r="F71" s="132">
        <v>44.8</v>
      </c>
      <c r="G71" s="131">
        <f>F71*10</f>
        <v>448</v>
      </c>
    </row>
    <row r="72" spans="1:7" x14ac:dyDescent="0.2">
      <c r="A72" s="81">
        <v>8604</v>
      </c>
      <c r="B72" s="82" t="s">
        <v>20</v>
      </c>
      <c r="C72" s="76" t="s">
        <v>18</v>
      </c>
      <c r="D72" s="82">
        <v>1</v>
      </c>
      <c r="E72" s="82"/>
      <c r="F72" s="84">
        <v>41.7</v>
      </c>
      <c r="G72" s="83">
        <f>F72*20</f>
        <v>834</v>
      </c>
    </row>
    <row r="73" spans="1:7" x14ac:dyDescent="0.2">
      <c r="A73" s="129">
        <v>8605</v>
      </c>
      <c r="B73" s="130" t="s">
        <v>37</v>
      </c>
      <c r="C73" s="122" t="s">
        <v>26</v>
      </c>
      <c r="D73" s="130">
        <v>1</v>
      </c>
      <c r="E73" s="128" t="s">
        <v>23</v>
      </c>
      <c r="F73" s="132">
        <v>41.2</v>
      </c>
      <c r="G73" s="131">
        <f>F73*30</f>
        <v>1236</v>
      </c>
    </row>
    <row r="74" spans="1:7" x14ac:dyDescent="0.2">
      <c r="A74" s="81">
        <v>8606</v>
      </c>
      <c r="B74" s="82" t="s">
        <v>38</v>
      </c>
      <c r="C74" s="76" t="s">
        <v>26</v>
      </c>
      <c r="D74" s="82">
        <v>1</v>
      </c>
      <c r="E74" s="80" t="s">
        <v>23</v>
      </c>
      <c r="F74" s="84">
        <v>40.299999999999997</v>
      </c>
      <c r="G74" s="83">
        <f>F74*60</f>
        <v>2418</v>
      </c>
    </row>
    <row r="75" spans="1:7" x14ac:dyDescent="0.2">
      <c r="A75" s="129">
        <v>8794</v>
      </c>
      <c r="B75" s="130" t="s">
        <v>25</v>
      </c>
      <c r="C75" s="122" t="s">
        <v>26</v>
      </c>
      <c r="D75" s="130">
        <v>1</v>
      </c>
      <c r="E75" s="130"/>
      <c r="F75" s="132">
        <v>36.700000000000003</v>
      </c>
      <c r="G75" s="131">
        <f>F75*200</f>
        <v>7340.0000000000009</v>
      </c>
    </row>
    <row r="76" spans="1:7" x14ac:dyDescent="0.2">
      <c r="A76" s="35"/>
      <c r="B76" s="35"/>
      <c r="C76" s="35"/>
      <c r="D76" s="35"/>
      <c r="E76" s="35"/>
      <c r="F76" s="35"/>
      <c r="G76" s="35"/>
    </row>
    <row r="77" spans="1:7" ht="15" x14ac:dyDescent="0.2">
      <c r="A77" s="227" t="s">
        <v>40</v>
      </c>
      <c r="B77" s="227"/>
      <c r="C77" s="13"/>
      <c r="D77" s="13"/>
      <c r="E77" s="13"/>
      <c r="F77" s="13"/>
      <c r="G77" s="13"/>
    </row>
    <row r="78" spans="1:7" x14ac:dyDescent="0.2">
      <c r="A78" s="12" t="s">
        <v>1</v>
      </c>
      <c r="B78" s="11" t="s">
        <v>2</v>
      </c>
      <c r="C78" s="12" t="s">
        <v>3</v>
      </c>
      <c r="D78" s="11" t="s">
        <v>4</v>
      </c>
      <c r="E78" s="12"/>
      <c r="F78" s="11" t="s">
        <v>5</v>
      </c>
      <c r="G78" s="11" t="s">
        <v>6</v>
      </c>
    </row>
    <row r="79" spans="1:7" x14ac:dyDescent="0.2">
      <c r="A79" s="81">
        <v>8470</v>
      </c>
      <c r="B79" s="82" t="s">
        <v>17</v>
      </c>
      <c r="C79" s="76" t="s">
        <v>18</v>
      </c>
      <c r="D79" s="82">
        <v>1</v>
      </c>
      <c r="E79" s="80" t="s">
        <v>23</v>
      </c>
      <c r="F79" s="84">
        <v>45.1</v>
      </c>
      <c r="G79" s="83">
        <f>F79*5</f>
        <v>225.5</v>
      </c>
    </row>
    <row r="80" spans="1:7" x14ac:dyDescent="0.2">
      <c r="A80" s="129">
        <v>8471</v>
      </c>
      <c r="B80" s="130" t="s">
        <v>19</v>
      </c>
      <c r="C80" s="122" t="s">
        <v>18</v>
      </c>
      <c r="D80" s="130">
        <v>1</v>
      </c>
      <c r="E80" s="130"/>
      <c r="F80" s="132">
        <v>44.8</v>
      </c>
      <c r="G80" s="131">
        <f>F80*10</f>
        <v>448</v>
      </c>
    </row>
    <row r="81" spans="1:7" x14ac:dyDescent="0.2">
      <c r="A81" s="81">
        <v>8472</v>
      </c>
      <c r="B81" s="82" t="s">
        <v>20</v>
      </c>
      <c r="C81" s="76" t="s">
        <v>18</v>
      </c>
      <c r="D81" s="82">
        <v>1</v>
      </c>
      <c r="E81" s="82"/>
      <c r="F81" s="84">
        <v>41.7</v>
      </c>
      <c r="G81" s="83">
        <f>F81*20</f>
        <v>834</v>
      </c>
    </row>
    <row r="82" spans="1:7" x14ac:dyDescent="0.2">
      <c r="A82" s="129">
        <v>8702</v>
      </c>
      <c r="B82" s="130" t="s">
        <v>37</v>
      </c>
      <c r="C82" s="122" t="s">
        <v>26</v>
      </c>
      <c r="D82" s="130">
        <v>1</v>
      </c>
      <c r="E82" s="128" t="s">
        <v>23</v>
      </c>
      <c r="F82" s="132">
        <v>41.2</v>
      </c>
      <c r="G82" s="131">
        <f>F82*30</f>
        <v>1236</v>
      </c>
    </row>
    <row r="83" spans="1:7" x14ac:dyDescent="0.2">
      <c r="A83" s="81">
        <v>8701</v>
      </c>
      <c r="B83" s="82" t="s">
        <v>38</v>
      </c>
      <c r="C83" s="76" t="s">
        <v>26</v>
      </c>
      <c r="D83" s="82">
        <v>1</v>
      </c>
      <c r="E83" s="80"/>
      <c r="F83" s="84">
        <v>40.299999999999997</v>
      </c>
      <c r="G83" s="83">
        <f>F83*60</f>
        <v>2418</v>
      </c>
    </row>
    <row r="84" spans="1:7" x14ac:dyDescent="0.2">
      <c r="A84" s="129">
        <v>8699</v>
      </c>
      <c r="B84" s="130" t="s">
        <v>25</v>
      </c>
      <c r="C84" s="122" t="s">
        <v>26</v>
      </c>
      <c r="D84" s="130">
        <v>1</v>
      </c>
      <c r="E84" s="130"/>
      <c r="F84" s="132">
        <v>36.700000000000003</v>
      </c>
      <c r="G84" s="131">
        <f>F84*200</f>
        <v>7340.0000000000009</v>
      </c>
    </row>
    <row r="85" spans="1:7" x14ac:dyDescent="0.2">
      <c r="A85" s="26"/>
      <c r="B85" s="27"/>
      <c r="D85" s="27"/>
      <c r="E85" s="27"/>
      <c r="F85" s="29"/>
      <c r="G85" s="28"/>
    </row>
    <row r="86" spans="1:7" ht="15" x14ac:dyDescent="0.2">
      <c r="A86" s="227" t="s">
        <v>41</v>
      </c>
      <c r="B86" s="227"/>
      <c r="C86" s="13"/>
      <c r="D86" s="13"/>
      <c r="E86" s="13"/>
      <c r="F86" s="13"/>
      <c r="G86" s="13"/>
    </row>
    <row r="87" spans="1:7" x14ac:dyDescent="0.2">
      <c r="A87" s="12" t="s">
        <v>1</v>
      </c>
      <c r="B87" s="11" t="s">
        <v>2</v>
      </c>
      <c r="C87" s="12" t="s">
        <v>3</v>
      </c>
      <c r="D87" s="11" t="s">
        <v>4</v>
      </c>
      <c r="E87" s="12"/>
      <c r="F87" s="11" t="s">
        <v>5</v>
      </c>
      <c r="G87" s="11" t="s">
        <v>6</v>
      </c>
    </row>
    <row r="88" spans="1:7" x14ac:dyDescent="0.2">
      <c r="A88" s="81">
        <v>8746</v>
      </c>
      <c r="B88" s="82" t="s">
        <v>17</v>
      </c>
      <c r="C88" s="76" t="s">
        <v>18</v>
      </c>
      <c r="D88" s="82">
        <v>1</v>
      </c>
      <c r="E88" s="80" t="s">
        <v>23</v>
      </c>
      <c r="F88" s="84">
        <v>45.1</v>
      </c>
      <c r="G88" s="83">
        <f>F88*5</f>
        <v>225.5</v>
      </c>
    </row>
    <row r="89" spans="1:7" x14ac:dyDescent="0.2">
      <c r="A89" s="129">
        <v>8747</v>
      </c>
      <c r="B89" s="130" t="s">
        <v>19</v>
      </c>
      <c r="C89" s="122" t="s">
        <v>18</v>
      </c>
      <c r="D89" s="130">
        <v>1</v>
      </c>
      <c r="E89" s="128" t="s">
        <v>23</v>
      </c>
      <c r="F89" s="132">
        <v>44.8</v>
      </c>
      <c r="G89" s="131">
        <f>F89*10</f>
        <v>448</v>
      </c>
    </row>
    <row r="90" spans="1:7" x14ac:dyDescent="0.2">
      <c r="A90" s="81">
        <v>8748</v>
      </c>
      <c r="B90" s="82" t="s">
        <v>20</v>
      </c>
      <c r="C90" s="76" t="s">
        <v>18</v>
      </c>
      <c r="D90" s="82">
        <v>1</v>
      </c>
      <c r="E90" s="82"/>
      <c r="F90" s="84">
        <v>41.7</v>
      </c>
      <c r="G90" s="83">
        <f>F90*20</f>
        <v>834</v>
      </c>
    </row>
    <row r="91" spans="1:7" x14ac:dyDescent="0.2">
      <c r="A91" s="129">
        <v>8749</v>
      </c>
      <c r="B91" s="130" t="s">
        <v>37</v>
      </c>
      <c r="C91" s="122" t="s">
        <v>26</v>
      </c>
      <c r="D91" s="130">
        <v>1</v>
      </c>
      <c r="E91" s="128" t="s">
        <v>23</v>
      </c>
      <c r="F91" s="132">
        <v>41.2</v>
      </c>
      <c r="G91" s="131">
        <f>F91*30</f>
        <v>1236</v>
      </c>
    </row>
    <row r="92" spans="1:7" x14ac:dyDescent="0.2">
      <c r="A92" s="81">
        <v>8750</v>
      </c>
      <c r="B92" s="82" t="s">
        <v>38</v>
      </c>
      <c r="C92" s="76" t="s">
        <v>26</v>
      </c>
      <c r="D92" s="82">
        <v>1</v>
      </c>
      <c r="E92" s="80" t="s">
        <v>23</v>
      </c>
      <c r="F92" s="84">
        <v>40.299999999999997</v>
      </c>
      <c r="G92" s="83">
        <f>F92*60</f>
        <v>2418</v>
      </c>
    </row>
    <row r="93" spans="1:7" x14ac:dyDescent="0.2">
      <c r="A93" s="129">
        <v>8751</v>
      </c>
      <c r="B93" s="130" t="s">
        <v>25</v>
      </c>
      <c r="C93" s="122" t="s">
        <v>26</v>
      </c>
      <c r="D93" s="130">
        <v>1</v>
      </c>
      <c r="E93" s="128" t="s">
        <v>23</v>
      </c>
      <c r="F93" s="132">
        <v>36.700000000000003</v>
      </c>
      <c r="G93" s="131">
        <f>F93*200</f>
        <v>7340.0000000000009</v>
      </c>
    </row>
    <row r="94" spans="1:7" x14ac:dyDescent="0.2">
      <c r="A94" s="3"/>
      <c r="D94" s="2"/>
      <c r="E94" s="2"/>
      <c r="F94" s="6"/>
      <c r="G94" s="4"/>
    </row>
    <row r="95" spans="1:7" ht="15" x14ac:dyDescent="0.2">
      <c r="A95" s="227" t="s">
        <v>42</v>
      </c>
      <c r="B95" s="227"/>
      <c r="C95" s="13"/>
      <c r="D95" s="13"/>
      <c r="E95" s="13"/>
      <c r="F95" s="13"/>
      <c r="G95" s="13"/>
    </row>
    <row r="96" spans="1:7" x14ac:dyDescent="0.2">
      <c r="A96" s="12" t="s">
        <v>1</v>
      </c>
      <c r="B96" s="11" t="s">
        <v>2</v>
      </c>
      <c r="C96" s="12" t="s">
        <v>3</v>
      </c>
      <c r="D96" s="11" t="s">
        <v>4</v>
      </c>
      <c r="E96" s="12"/>
      <c r="F96" s="11" t="s">
        <v>5</v>
      </c>
      <c r="G96" s="11" t="s">
        <v>6</v>
      </c>
    </row>
    <row r="97" spans="1:7" x14ac:dyDescent="0.2">
      <c r="A97" s="81">
        <v>9218</v>
      </c>
      <c r="B97" s="82" t="s">
        <v>17</v>
      </c>
      <c r="C97" s="76" t="s">
        <v>18</v>
      </c>
      <c r="D97" s="82">
        <v>1</v>
      </c>
      <c r="E97" s="80" t="s">
        <v>23</v>
      </c>
      <c r="F97" s="84">
        <v>56.7</v>
      </c>
      <c r="G97" s="83">
        <f>F97*5</f>
        <v>283.5</v>
      </c>
    </row>
    <row r="98" spans="1:7" x14ac:dyDescent="0.2">
      <c r="A98" s="129">
        <v>9205</v>
      </c>
      <c r="B98" s="130" t="s">
        <v>19</v>
      </c>
      <c r="C98" s="122" t="s">
        <v>18</v>
      </c>
      <c r="D98" s="130">
        <v>1</v>
      </c>
      <c r="E98" s="128" t="s">
        <v>23</v>
      </c>
      <c r="F98" s="132">
        <v>55.8</v>
      </c>
      <c r="G98" s="131">
        <f>F98*10</f>
        <v>558</v>
      </c>
    </row>
    <row r="99" spans="1:7" x14ac:dyDescent="0.2">
      <c r="A99" s="81">
        <v>9206</v>
      </c>
      <c r="B99" s="82" t="s">
        <v>20</v>
      </c>
      <c r="C99" s="76" t="s">
        <v>18</v>
      </c>
      <c r="D99" s="82">
        <v>1</v>
      </c>
      <c r="E99" s="80" t="s">
        <v>23</v>
      </c>
      <c r="F99" s="84">
        <v>54</v>
      </c>
      <c r="G99" s="83">
        <f>F99*20</f>
        <v>1080</v>
      </c>
    </row>
    <row r="100" spans="1:7" x14ac:dyDescent="0.2">
      <c r="A100" s="129">
        <v>9207</v>
      </c>
      <c r="B100" s="130" t="s">
        <v>37</v>
      </c>
      <c r="C100" s="122" t="s">
        <v>26</v>
      </c>
      <c r="D100" s="130">
        <v>1</v>
      </c>
      <c r="E100" s="128" t="s">
        <v>23</v>
      </c>
      <c r="F100" s="132">
        <v>53.8</v>
      </c>
      <c r="G100" s="131">
        <f>F100*30</f>
        <v>1614</v>
      </c>
    </row>
    <row r="101" spans="1:7" x14ac:dyDescent="0.2">
      <c r="A101" s="81">
        <v>9208</v>
      </c>
      <c r="B101" s="82" t="s">
        <v>38</v>
      </c>
      <c r="C101" s="76" t="s">
        <v>26</v>
      </c>
      <c r="D101" s="82">
        <v>1</v>
      </c>
      <c r="E101" s="80" t="s">
        <v>23</v>
      </c>
      <c r="F101" s="84">
        <v>53.4</v>
      </c>
      <c r="G101" s="83">
        <f>F101*60</f>
        <v>3204</v>
      </c>
    </row>
    <row r="102" spans="1:7" x14ac:dyDescent="0.2">
      <c r="A102" s="129">
        <v>9209</v>
      </c>
      <c r="B102" s="130" t="s">
        <v>25</v>
      </c>
      <c r="C102" s="122" t="s">
        <v>26</v>
      </c>
      <c r="D102" s="130">
        <v>1</v>
      </c>
      <c r="E102" s="128" t="s">
        <v>23</v>
      </c>
      <c r="F102" s="132">
        <v>51.7</v>
      </c>
      <c r="G102" s="131">
        <f>F102*200</f>
        <v>10340</v>
      </c>
    </row>
    <row r="103" spans="1:7" x14ac:dyDescent="0.2">
      <c r="A103" s="26"/>
      <c r="B103" s="27"/>
      <c r="D103" s="27"/>
      <c r="E103" s="27"/>
      <c r="F103" s="29"/>
      <c r="G103" s="28"/>
    </row>
    <row r="104" spans="1:7" ht="15" x14ac:dyDescent="0.2">
      <c r="A104" s="227" t="s">
        <v>43</v>
      </c>
      <c r="B104" s="227"/>
      <c r="C104" s="13"/>
      <c r="D104" s="13"/>
      <c r="E104" s="13"/>
      <c r="F104" s="13"/>
      <c r="G104" s="13"/>
    </row>
    <row r="105" spans="1:7" x14ac:dyDescent="0.2">
      <c r="A105" s="12" t="s">
        <v>1</v>
      </c>
      <c r="B105" s="11" t="s">
        <v>2</v>
      </c>
      <c r="C105" s="12" t="s">
        <v>3</v>
      </c>
      <c r="D105" s="11" t="s">
        <v>4</v>
      </c>
      <c r="E105" s="12"/>
      <c r="F105" s="11" t="s">
        <v>5</v>
      </c>
      <c r="G105" s="11" t="s">
        <v>6</v>
      </c>
    </row>
    <row r="106" spans="1:7" x14ac:dyDescent="0.2">
      <c r="A106" s="81">
        <v>9217</v>
      </c>
      <c r="B106" s="82" t="s">
        <v>17</v>
      </c>
      <c r="C106" s="76" t="s">
        <v>18</v>
      </c>
      <c r="D106" s="82">
        <v>1</v>
      </c>
      <c r="E106" s="80" t="s">
        <v>23</v>
      </c>
      <c r="F106" s="84">
        <v>56.7</v>
      </c>
      <c r="G106" s="83">
        <f>F106*5</f>
        <v>283.5</v>
      </c>
    </row>
    <row r="107" spans="1:7" x14ac:dyDescent="0.2">
      <c r="A107" s="129">
        <v>9212</v>
      </c>
      <c r="B107" s="130" t="s">
        <v>19</v>
      </c>
      <c r="C107" s="122" t="s">
        <v>18</v>
      </c>
      <c r="D107" s="130">
        <v>1</v>
      </c>
      <c r="E107" s="128" t="s">
        <v>23</v>
      </c>
      <c r="F107" s="132">
        <v>55.8</v>
      </c>
      <c r="G107" s="131">
        <f>F107*10</f>
        <v>558</v>
      </c>
    </row>
    <row r="108" spans="1:7" x14ac:dyDescent="0.2">
      <c r="A108" s="81">
        <v>9213</v>
      </c>
      <c r="B108" s="82" t="s">
        <v>20</v>
      </c>
      <c r="C108" s="76" t="s">
        <v>18</v>
      </c>
      <c r="D108" s="82">
        <v>1</v>
      </c>
      <c r="E108" s="80" t="s">
        <v>23</v>
      </c>
      <c r="F108" s="84">
        <v>54</v>
      </c>
      <c r="G108" s="83">
        <f>F108*20</f>
        <v>1080</v>
      </c>
    </row>
    <row r="109" spans="1:7" x14ac:dyDescent="0.2">
      <c r="A109" s="129">
        <v>9214</v>
      </c>
      <c r="B109" s="130" t="s">
        <v>37</v>
      </c>
      <c r="C109" s="122" t="s">
        <v>26</v>
      </c>
      <c r="D109" s="130">
        <v>1</v>
      </c>
      <c r="E109" s="128" t="s">
        <v>23</v>
      </c>
      <c r="F109" s="132">
        <v>53.8</v>
      </c>
      <c r="G109" s="131">
        <f>F109*30</f>
        <v>1614</v>
      </c>
    </row>
    <row r="110" spans="1:7" x14ac:dyDescent="0.2">
      <c r="A110" s="81">
        <v>9215</v>
      </c>
      <c r="B110" s="82" t="s">
        <v>38</v>
      </c>
      <c r="C110" s="76" t="s">
        <v>26</v>
      </c>
      <c r="D110" s="82">
        <v>1</v>
      </c>
      <c r="E110" s="80" t="s">
        <v>23</v>
      </c>
      <c r="F110" s="84">
        <v>53.4</v>
      </c>
      <c r="G110" s="83">
        <f>F110*60</f>
        <v>3204</v>
      </c>
    </row>
    <row r="111" spans="1:7" x14ac:dyDescent="0.2">
      <c r="A111" s="129">
        <v>9216</v>
      </c>
      <c r="B111" s="130" t="s">
        <v>25</v>
      </c>
      <c r="C111" s="122" t="s">
        <v>26</v>
      </c>
      <c r="D111" s="130">
        <v>1</v>
      </c>
      <c r="E111" s="128" t="s">
        <v>23</v>
      </c>
      <c r="F111" s="132">
        <v>51.7</v>
      </c>
      <c r="G111" s="131">
        <f>F111*200</f>
        <v>10340</v>
      </c>
    </row>
    <row r="112" spans="1:7" x14ac:dyDescent="0.2">
      <c r="A112" s="8"/>
    </row>
    <row r="113" spans="1:7" ht="15" x14ac:dyDescent="0.2">
      <c r="A113" s="227" t="s">
        <v>44</v>
      </c>
      <c r="B113" s="227"/>
      <c r="C113" s="13"/>
      <c r="D113" s="13"/>
      <c r="E113" s="13"/>
      <c r="F113" s="13"/>
      <c r="G113" s="13"/>
    </row>
    <row r="114" spans="1:7" x14ac:dyDescent="0.2">
      <c r="A114" s="12" t="s">
        <v>1</v>
      </c>
      <c r="B114" s="11" t="s">
        <v>2</v>
      </c>
      <c r="C114" s="12" t="s">
        <v>3</v>
      </c>
      <c r="D114" s="11" t="s">
        <v>4</v>
      </c>
      <c r="E114" s="12"/>
      <c r="F114" s="11" t="s">
        <v>5</v>
      </c>
      <c r="G114" s="11" t="s">
        <v>6</v>
      </c>
    </row>
    <row r="115" spans="1:7" x14ac:dyDescent="0.2">
      <c r="A115" s="81">
        <v>8754</v>
      </c>
      <c r="B115" s="82" t="s">
        <v>17</v>
      </c>
      <c r="C115" s="76" t="s">
        <v>18</v>
      </c>
      <c r="D115" s="82">
        <v>1</v>
      </c>
      <c r="E115" s="82"/>
      <c r="F115" s="84">
        <v>57.8</v>
      </c>
      <c r="G115" s="83">
        <f>F115*5</f>
        <v>289</v>
      </c>
    </row>
    <row r="116" spans="1:7" x14ac:dyDescent="0.2">
      <c r="A116" s="129">
        <v>8755</v>
      </c>
      <c r="B116" s="130" t="s">
        <v>19</v>
      </c>
      <c r="C116" s="122" t="s">
        <v>18</v>
      </c>
      <c r="D116" s="130">
        <v>1</v>
      </c>
      <c r="E116" s="130"/>
      <c r="F116" s="132">
        <v>52.8</v>
      </c>
      <c r="G116" s="131">
        <f>F116*10</f>
        <v>528</v>
      </c>
    </row>
    <row r="117" spans="1:7" x14ac:dyDescent="0.2">
      <c r="A117" s="81">
        <v>8756</v>
      </c>
      <c r="B117" s="82" t="s">
        <v>20</v>
      </c>
      <c r="C117" s="76" t="s">
        <v>18</v>
      </c>
      <c r="D117" s="82">
        <v>1</v>
      </c>
      <c r="E117" s="82"/>
      <c r="F117" s="84">
        <v>49.9</v>
      </c>
      <c r="G117" s="83">
        <f>F117*20</f>
        <v>998</v>
      </c>
    </row>
    <row r="118" spans="1:7" x14ac:dyDescent="0.2">
      <c r="A118" s="129">
        <v>8757</v>
      </c>
      <c r="B118" s="130" t="s">
        <v>37</v>
      </c>
      <c r="C118" s="122" t="s">
        <v>26</v>
      </c>
      <c r="D118" s="130">
        <v>1</v>
      </c>
      <c r="E118" s="128" t="s">
        <v>23</v>
      </c>
      <c r="F118" s="132">
        <v>48.8</v>
      </c>
      <c r="G118" s="131">
        <f>F118*30</f>
        <v>1464</v>
      </c>
    </row>
    <row r="119" spans="1:7" x14ac:dyDescent="0.2">
      <c r="A119" s="81">
        <v>8758</v>
      </c>
      <c r="B119" s="82" t="s">
        <v>38</v>
      </c>
      <c r="C119" s="76" t="s">
        <v>26</v>
      </c>
      <c r="D119" s="82">
        <v>1</v>
      </c>
      <c r="E119" s="80"/>
      <c r="F119" s="84">
        <v>47.6</v>
      </c>
      <c r="G119" s="83">
        <f>F119*60</f>
        <v>2856</v>
      </c>
    </row>
    <row r="120" spans="1:7" x14ac:dyDescent="0.2">
      <c r="A120" s="129">
        <v>8759</v>
      </c>
      <c r="B120" s="130" t="s">
        <v>25</v>
      </c>
      <c r="C120" s="122" t="s">
        <v>26</v>
      </c>
      <c r="D120" s="130">
        <v>1</v>
      </c>
      <c r="E120" s="128" t="s">
        <v>23</v>
      </c>
      <c r="F120" s="132">
        <v>46.7</v>
      </c>
      <c r="G120" s="131">
        <f>F120*200</f>
        <v>9340</v>
      </c>
    </row>
    <row r="122" spans="1:7" ht="15" x14ac:dyDescent="0.2">
      <c r="A122" s="227" t="s">
        <v>45</v>
      </c>
      <c r="B122" s="227"/>
      <c r="C122" s="13"/>
      <c r="D122" s="13"/>
      <c r="E122" s="13"/>
      <c r="F122" s="13"/>
      <c r="G122" s="13"/>
    </row>
    <row r="123" spans="1:7" x14ac:dyDescent="0.2">
      <c r="A123" s="12" t="s">
        <v>1</v>
      </c>
      <c r="B123" s="11" t="s">
        <v>2</v>
      </c>
      <c r="C123" s="12" t="s">
        <v>3</v>
      </c>
      <c r="D123" s="11" t="s">
        <v>4</v>
      </c>
      <c r="E123" s="12"/>
      <c r="F123" s="11" t="s">
        <v>5</v>
      </c>
      <c r="G123" s="11" t="s">
        <v>6</v>
      </c>
    </row>
    <row r="124" spans="1:7" x14ac:dyDescent="0.2">
      <c r="A124" s="81">
        <v>8538</v>
      </c>
      <c r="B124" s="82" t="s">
        <v>17</v>
      </c>
      <c r="C124" s="76" t="s">
        <v>18</v>
      </c>
      <c r="D124" s="82">
        <v>1</v>
      </c>
      <c r="E124" s="80" t="s">
        <v>23</v>
      </c>
      <c r="F124" s="84">
        <v>57.8</v>
      </c>
      <c r="G124" s="83">
        <f>F124*5</f>
        <v>289</v>
      </c>
    </row>
    <row r="125" spans="1:7" x14ac:dyDescent="0.2">
      <c r="A125" s="129">
        <v>8510</v>
      </c>
      <c r="B125" s="130" t="s">
        <v>19</v>
      </c>
      <c r="C125" s="122" t="s">
        <v>18</v>
      </c>
      <c r="D125" s="130">
        <v>1</v>
      </c>
      <c r="E125" s="128" t="s">
        <v>23</v>
      </c>
      <c r="F125" s="132">
        <v>52.8</v>
      </c>
      <c r="G125" s="131">
        <f>F125*10</f>
        <v>528</v>
      </c>
    </row>
    <row r="126" spans="1:7" x14ac:dyDescent="0.2">
      <c r="A126" s="81">
        <v>8539</v>
      </c>
      <c r="B126" s="82" t="s">
        <v>20</v>
      </c>
      <c r="C126" s="76" t="s">
        <v>18</v>
      </c>
      <c r="D126" s="82">
        <v>1</v>
      </c>
      <c r="E126" s="82"/>
      <c r="F126" s="84">
        <v>49.9</v>
      </c>
      <c r="G126" s="83">
        <f>F126*20</f>
        <v>998</v>
      </c>
    </row>
    <row r="127" spans="1:7" x14ac:dyDescent="0.2">
      <c r="A127" s="129">
        <v>8666</v>
      </c>
      <c r="B127" s="130" t="s">
        <v>38</v>
      </c>
      <c r="C127" s="122" t="s">
        <v>26</v>
      </c>
      <c r="D127" s="130">
        <v>1</v>
      </c>
      <c r="E127" s="128" t="s">
        <v>23</v>
      </c>
      <c r="F127" s="132">
        <v>47.6</v>
      </c>
      <c r="G127" s="131">
        <f>F127*60</f>
        <v>2856</v>
      </c>
    </row>
    <row r="128" spans="1:7" x14ac:dyDescent="0.2">
      <c r="A128" s="81">
        <v>8704</v>
      </c>
      <c r="B128" s="82" t="s">
        <v>25</v>
      </c>
      <c r="C128" s="76" t="s">
        <v>26</v>
      </c>
      <c r="D128" s="82">
        <v>1</v>
      </c>
      <c r="E128" s="80"/>
      <c r="F128" s="84">
        <v>46.7</v>
      </c>
      <c r="G128" s="83">
        <f>F128*200</f>
        <v>9340</v>
      </c>
    </row>
    <row r="129" spans="1:7" x14ac:dyDescent="0.2">
      <c r="A129" s="31"/>
      <c r="B129" s="32"/>
      <c r="C129" s="39"/>
      <c r="D129" s="32"/>
      <c r="E129" s="32"/>
      <c r="F129" s="33"/>
      <c r="G129" s="30"/>
    </row>
    <row r="130" spans="1:7" ht="15" x14ac:dyDescent="0.2">
      <c r="A130" s="227" t="s">
        <v>46</v>
      </c>
      <c r="B130" s="227"/>
      <c r="C130" s="13"/>
      <c r="D130" s="13"/>
      <c r="E130" s="13"/>
      <c r="F130" s="13"/>
      <c r="G130" s="13"/>
    </row>
    <row r="131" spans="1:7" x14ac:dyDescent="0.2">
      <c r="A131" s="12" t="s">
        <v>1</v>
      </c>
      <c r="B131" s="11" t="s">
        <v>2</v>
      </c>
      <c r="C131" s="12" t="s">
        <v>3</v>
      </c>
      <c r="D131" s="11" t="s">
        <v>4</v>
      </c>
      <c r="E131" s="12"/>
      <c r="F131" s="11" t="s">
        <v>5</v>
      </c>
      <c r="G131" s="11" t="s">
        <v>6</v>
      </c>
    </row>
    <row r="132" spans="1:7" x14ac:dyDescent="0.2">
      <c r="A132" s="81">
        <v>8762</v>
      </c>
      <c r="B132" s="82" t="s">
        <v>17</v>
      </c>
      <c r="C132" s="76" t="s">
        <v>18</v>
      </c>
      <c r="D132" s="82">
        <v>1</v>
      </c>
      <c r="E132" s="80" t="s">
        <v>23</v>
      </c>
      <c r="F132" s="84">
        <v>57.8</v>
      </c>
      <c r="G132" s="83">
        <f>F132*5</f>
        <v>289</v>
      </c>
    </row>
    <row r="133" spans="1:7" x14ac:dyDescent="0.2">
      <c r="A133" s="129">
        <v>8763</v>
      </c>
      <c r="B133" s="130" t="s">
        <v>19</v>
      </c>
      <c r="C133" s="122" t="s">
        <v>18</v>
      </c>
      <c r="D133" s="130">
        <v>1</v>
      </c>
      <c r="E133" s="130"/>
      <c r="F133" s="132">
        <v>52.8</v>
      </c>
      <c r="G133" s="131">
        <f>F133*10</f>
        <v>528</v>
      </c>
    </row>
    <row r="134" spans="1:7" x14ac:dyDescent="0.2">
      <c r="A134" s="81">
        <v>8764</v>
      </c>
      <c r="B134" s="82" t="s">
        <v>20</v>
      </c>
      <c r="C134" s="76" t="s">
        <v>18</v>
      </c>
      <c r="D134" s="82">
        <v>1</v>
      </c>
      <c r="E134" s="82"/>
      <c r="F134" s="84">
        <v>49.9</v>
      </c>
      <c r="G134" s="83">
        <f>F134*20</f>
        <v>998</v>
      </c>
    </row>
    <row r="135" spans="1:7" x14ac:dyDescent="0.2">
      <c r="A135" s="129">
        <v>8765</v>
      </c>
      <c r="B135" s="130" t="s">
        <v>37</v>
      </c>
      <c r="C135" s="122" t="s">
        <v>26</v>
      </c>
      <c r="D135" s="130">
        <v>1</v>
      </c>
      <c r="E135" s="128" t="s">
        <v>23</v>
      </c>
      <c r="F135" s="132">
        <v>48.8</v>
      </c>
      <c r="G135" s="131">
        <f>F135*30</f>
        <v>1464</v>
      </c>
    </row>
    <row r="136" spans="1:7" x14ac:dyDescent="0.2">
      <c r="A136" s="81">
        <v>8766</v>
      </c>
      <c r="B136" s="82" t="s">
        <v>38</v>
      </c>
      <c r="C136" s="76" t="s">
        <v>26</v>
      </c>
      <c r="D136" s="82">
        <v>1</v>
      </c>
      <c r="E136" s="82"/>
      <c r="F136" s="84">
        <v>47.6</v>
      </c>
      <c r="G136" s="83">
        <f>F136*60</f>
        <v>2856</v>
      </c>
    </row>
    <row r="137" spans="1:7" x14ac:dyDescent="0.2">
      <c r="A137" s="129">
        <v>8767</v>
      </c>
      <c r="B137" s="130" t="s">
        <v>25</v>
      </c>
      <c r="C137" s="122" t="s">
        <v>26</v>
      </c>
      <c r="D137" s="130">
        <v>1</v>
      </c>
      <c r="E137" s="130"/>
      <c r="F137" s="132">
        <v>46.7</v>
      </c>
      <c r="G137" s="131">
        <f>F137*200</f>
        <v>9340</v>
      </c>
    </row>
    <row r="138" spans="1:7" ht="15" x14ac:dyDescent="0.2">
      <c r="A138" s="229"/>
      <c r="B138" s="229"/>
      <c r="C138" s="34"/>
      <c r="D138" s="34"/>
      <c r="E138" s="34"/>
      <c r="F138" s="34"/>
      <c r="G138" s="34"/>
    </row>
    <row r="139" spans="1:7" ht="15" x14ac:dyDescent="0.2">
      <c r="A139" s="227" t="s">
        <v>536</v>
      </c>
      <c r="B139" s="227"/>
      <c r="C139" s="13"/>
      <c r="D139" s="13"/>
      <c r="E139" s="13"/>
      <c r="F139" s="13"/>
      <c r="G139" s="13"/>
    </row>
    <row r="140" spans="1:7" x14ac:dyDescent="0.2">
      <c r="A140" s="12" t="s">
        <v>1</v>
      </c>
      <c r="B140" s="11" t="s">
        <v>2</v>
      </c>
      <c r="C140" s="12" t="s">
        <v>3</v>
      </c>
      <c r="D140" s="11" t="s">
        <v>4</v>
      </c>
      <c r="E140" s="12"/>
      <c r="F140" s="11" t="s">
        <v>5</v>
      </c>
      <c r="G140" s="11" t="s">
        <v>6</v>
      </c>
    </row>
    <row r="141" spans="1:7" x14ac:dyDescent="0.2">
      <c r="A141" s="81">
        <v>845201844</v>
      </c>
      <c r="B141" s="77" t="s">
        <v>14</v>
      </c>
      <c r="C141" s="76" t="s">
        <v>11</v>
      </c>
      <c r="D141" s="82">
        <v>1</v>
      </c>
      <c r="E141" s="80"/>
      <c r="F141" s="84">
        <v>45</v>
      </c>
      <c r="G141" s="83">
        <f>D141*F141</f>
        <v>45</v>
      </c>
    </row>
    <row r="142" spans="1:7" x14ac:dyDescent="0.2">
      <c r="A142" s="81"/>
      <c r="B142" s="77"/>
      <c r="C142" s="76"/>
      <c r="D142" s="82">
        <v>12</v>
      </c>
      <c r="E142" s="80"/>
      <c r="F142" s="84">
        <v>41.1</v>
      </c>
      <c r="G142" s="83">
        <f t="shared" ref="G142:G144" si="1">D142*F142</f>
        <v>493.20000000000005</v>
      </c>
    </row>
    <row r="143" spans="1:7" x14ac:dyDescent="0.2">
      <c r="A143" s="81"/>
      <c r="B143" s="77"/>
      <c r="C143" s="76"/>
      <c r="D143" s="82">
        <v>24</v>
      </c>
      <c r="E143" s="80"/>
      <c r="F143" s="84">
        <v>39.1</v>
      </c>
      <c r="G143" s="83">
        <f t="shared" si="1"/>
        <v>938.40000000000009</v>
      </c>
    </row>
    <row r="144" spans="1:7" x14ac:dyDescent="0.2">
      <c r="A144" s="81"/>
      <c r="B144" s="77"/>
      <c r="C144" s="76"/>
      <c r="D144" s="82">
        <v>48</v>
      </c>
      <c r="E144" s="80"/>
      <c r="F144" s="84">
        <v>37.1</v>
      </c>
      <c r="G144" s="83">
        <f t="shared" si="1"/>
        <v>1780.8000000000002</v>
      </c>
    </row>
    <row r="145" spans="1:7" x14ac:dyDescent="0.2">
      <c r="A145" s="129">
        <v>845202162</v>
      </c>
      <c r="B145" s="130" t="s">
        <v>15</v>
      </c>
      <c r="C145" s="122" t="s">
        <v>16</v>
      </c>
      <c r="D145" s="130">
        <v>1</v>
      </c>
      <c r="E145" s="130"/>
      <c r="F145" s="132">
        <v>84.2</v>
      </c>
      <c r="G145" s="131">
        <f>D145*F145</f>
        <v>84.2</v>
      </c>
    </row>
    <row r="146" spans="1:7" x14ac:dyDescent="0.2">
      <c r="A146" s="129"/>
      <c r="B146" s="130"/>
      <c r="C146" s="122"/>
      <c r="D146" s="130">
        <v>6</v>
      </c>
      <c r="E146" s="130"/>
      <c r="F146" s="132">
        <v>76.900000000000006</v>
      </c>
      <c r="G146" s="131">
        <f>D146*F146</f>
        <v>461.40000000000003</v>
      </c>
    </row>
    <row r="147" spans="1:7" x14ac:dyDescent="0.2">
      <c r="A147" s="129"/>
      <c r="B147" s="130"/>
      <c r="C147" s="122"/>
      <c r="D147" s="130">
        <v>12</v>
      </c>
      <c r="E147" s="130"/>
      <c r="F147" s="132">
        <v>73.2</v>
      </c>
      <c r="G147" s="131">
        <f t="shared" ref="G147:G148" si="2">D147*F147</f>
        <v>878.40000000000009</v>
      </c>
    </row>
    <row r="148" spans="1:7" x14ac:dyDescent="0.2">
      <c r="A148" s="129"/>
      <c r="B148" s="130"/>
      <c r="C148" s="122"/>
      <c r="D148" s="130">
        <v>24</v>
      </c>
      <c r="E148" s="130"/>
      <c r="F148" s="132">
        <v>69.5</v>
      </c>
      <c r="G148" s="131">
        <f t="shared" si="2"/>
        <v>1668</v>
      </c>
    </row>
    <row r="149" spans="1:7" x14ac:dyDescent="0.2">
      <c r="A149" s="81">
        <v>845202462</v>
      </c>
      <c r="B149" s="82" t="s">
        <v>17</v>
      </c>
      <c r="C149" s="76" t="s">
        <v>18</v>
      </c>
      <c r="D149" s="82">
        <v>1</v>
      </c>
      <c r="E149" s="80"/>
      <c r="F149" s="84">
        <v>69.400000000000006</v>
      </c>
      <c r="G149" s="83">
        <f>F149*5</f>
        <v>347</v>
      </c>
    </row>
    <row r="150" spans="1:7" x14ac:dyDescent="0.2">
      <c r="A150" s="129">
        <v>845202562</v>
      </c>
      <c r="B150" s="130" t="s">
        <v>19</v>
      </c>
      <c r="C150" s="122" t="s">
        <v>18</v>
      </c>
      <c r="D150" s="130">
        <v>1</v>
      </c>
      <c r="E150" s="130"/>
      <c r="F150" s="132">
        <v>65.5</v>
      </c>
      <c r="G150" s="131">
        <f>F150*10</f>
        <v>655</v>
      </c>
    </row>
    <row r="151" spans="1:7" x14ac:dyDescent="0.2">
      <c r="A151" s="81">
        <v>845202862</v>
      </c>
      <c r="B151" s="82" t="s">
        <v>20</v>
      </c>
      <c r="C151" s="76" t="s">
        <v>18</v>
      </c>
      <c r="D151" s="82">
        <v>1</v>
      </c>
      <c r="E151" s="80"/>
      <c r="F151" s="84">
        <v>61.7</v>
      </c>
      <c r="G151" s="83">
        <f>F151*20</f>
        <v>1234</v>
      </c>
    </row>
    <row r="152" spans="1:7" x14ac:dyDescent="0.2">
      <c r="A152" s="129">
        <v>845203562</v>
      </c>
      <c r="B152" s="130" t="s">
        <v>38</v>
      </c>
      <c r="C152" s="122" t="s">
        <v>26</v>
      </c>
      <c r="D152" s="130">
        <v>1</v>
      </c>
      <c r="E152" s="130"/>
      <c r="F152" s="132">
        <v>54.7</v>
      </c>
      <c r="G152" s="131">
        <f>F152*60</f>
        <v>3282</v>
      </c>
    </row>
    <row r="153" spans="1:7" x14ac:dyDescent="0.2">
      <c r="A153" s="81">
        <v>845203862</v>
      </c>
      <c r="B153" s="82" t="s">
        <v>25</v>
      </c>
      <c r="C153" s="76" t="s">
        <v>26</v>
      </c>
      <c r="D153" s="82">
        <v>1</v>
      </c>
      <c r="E153" s="80"/>
      <c r="F153" s="84">
        <v>50.9</v>
      </c>
      <c r="G153" s="83">
        <f>F153*200</f>
        <v>10180</v>
      </c>
    </row>
  </sheetData>
  <mergeCells count="15">
    <mergeCell ref="A139:B139"/>
    <mergeCell ref="A138:B138"/>
    <mergeCell ref="A95:B95"/>
    <mergeCell ref="A104:B104"/>
    <mergeCell ref="A113:B113"/>
    <mergeCell ref="A122:B122"/>
    <mergeCell ref="A130:B130"/>
    <mergeCell ref="A1:G3"/>
    <mergeCell ref="A59:B59"/>
    <mergeCell ref="A67:B67"/>
    <mergeCell ref="A86:B86"/>
    <mergeCell ref="A20:B20"/>
    <mergeCell ref="A68:B68"/>
    <mergeCell ref="A28:D28"/>
    <mergeCell ref="A77:B77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99D1-C6D8-4E8A-93E6-A433F1D622C0}">
  <sheetPr codeName="Blad16"/>
  <dimension ref="A1:K63"/>
  <sheetViews>
    <sheetView showGridLines="0" topLeftCell="A32" zoomScaleNormal="100" workbookViewId="0">
      <selection activeCell="D41" sqref="D41:F48"/>
    </sheetView>
  </sheetViews>
  <sheetFormatPr defaultColWidth="9.140625" defaultRowHeight="12.75" x14ac:dyDescent="0.2"/>
  <cols>
    <col min="1" max="1" width="13.7109375" style="1" customWidth="1"/>
    <col min="2" max="2" width="11.5703125" style="1" customWidth="1"/>
    <col min="3" max="3" width="20.28515625" style="3" customWidth="1"/>
    <col min="4" max="4" width="8.140625" style="1" customWidth="1"/>
    <col min="5" max="5" width="2" style="1" customWidth="1"/>
    <col min="6" max="6" width="19.42578125" style="1" customWidth="1"/>
    <col min="7" max="7" width="20.42578125" style="1" customWidth="1"/>
    <col min="8" max="8" width="9.140625" style="1"/>
    <col min="9" max="9" width="9.140625" style="6"/>
    <col min="10" max="10" width="9.140625" style="1"/>
    <col min="11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D4" s="2"/>
      <c r="E4" s="2"/>
      <c r="F4" s="2"/>
      <c r="G4" s="2"/>
    </row>
    <row r="5" spans="1:7" ht="15" x14ac:dyDescent="0.2">
      <c r="A5" s="143" t="s">
        <v>47</v>
      </c>
      <c r="B5" s="13"/>
      <c r="C5" s="13"/>
      <c r="D5" s="13"/>
      <c r="E5" s="13"/>
      <c r="F5" s="13"/>
      <c r="G5" s="13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225" t="s">
        <v>5</v>
      </c>
      <c r="F6" s="225"/>
      <c r="G6" s="11" t="s">
        <v>6</v>
      </c>
    </row>
    <row r="7" spans="1:7" ht="12.75" customHeight="1" x14ac:dyDescent="0.2">
      <c r="A7" s="76">
        <v>8001</v>
      </c>
      <c r="B7" s="77" t="s">
        <v>10</v>
      </c>
      <c r="C7" s="76" t="s">
        <v>8</v>
      </c>
      <c r="D7" s="77">
        <v>1</v>
      </c>
      <c r="E7" s="77"/>
      <c r="F7" s="84">
        <v>21.1</v>
      </c>
      <c r="G7" s="78">
        <f t="shared" ref="G7:G12" si="0">D7*F7</f>
        <v>21.1</v>
      </c>
    </row>
    <row r="8" spans="1:7" x14ac:dyDescent="0.2">
      <c r="A8" s="76"/>
      <c r="B8" s="79"/>
      <c r="C8" s="76"/>
      <c r="D8" s="77">
        <v>12</v>
      </c>
      <c r="E8" s="77"/>
      <c r="F8" s="84">
        <v>19.399999999999999</v>
      </c>
      <c r="G8" s="78">
        <f t="shared" si="0"/>
        <v>232.79999999999998</v>
      </c>
    </row>
    <row r="9" spans="1:7" x14ac:dyDescent="0.2">
      <c r="A9" s="76"/>
      <c r="B9" s="79"/>
      <c r="C9" s="76"/>
      <c r="D9" s="77">
        <v>24</v>
      </c>
      <c r="E9" s="77"/>
      <c r="F9" s="84">
        <v>19</v>
      </c>
      <c r="G9" s="78">
        <f t="shared" si="0"/>
        <v>456</v>
      </c>
    </row>
    <row r="10" spans="1:7" x14ac:dyDescent="0.2">
      <c r="A10" s="76"/>
      <c r="B10" s="79"/>
      <c r="C10" s="76"/>
      <c r="D10" s="77">
        <v>48</v>
      </c>
      <c r="E10" s="77"/>
      <c r="F10" s="84">
        <v>17.2</v>
      </c>
      <c r="G10" s="78">
        <f t="shared" si="0"/>
        <v>825.59999999999991</v>
      </c>
    </row>
    <row r="11" spans="1:7" x14ac:dyDescent="0.2">
      <c r="A11" s="122">
        <v>8005</v>
      </c>
      <c r="B11" s="123" t="s">
        <v>15</v>
      </c>
      <c r="C11" s="122" t="s">
        <v>8</v>
      </c>
      <c r="D11" s="123">
        <v>1</v>
      </c>
      <c r="E11" s="123"/>
      <c r="F11" s="132">
        <v>125.5</v>
      </c>
      <c r="G11" s="125">
        <f t="shared" si="0"/>
        <v>125.5</v>
      </c>
    </row>
    <row r="12" spans="1:7" x14ac:dyDescent="0.2">
      <c r="A12" s="122"/>
      <c r="B12" s="133"/>
      <c r="C12" s="122"/>
      <c r="D12" s="123">
        <v>6</v>
      </c>
      <c r="E12" s="123"/>
      <c r="F12" s="132">
        <v>122.1</v>
      </c>
      <c r="G12" s="125">
        <f t="shared" si="0"/>
        <v>732.59999999999991</v>
      </c>
    </row>
    <row r="13" spans="1:7" x14ac:dyDescent="0.2">
      <c r="A13" s="3"/>
      <c r="B13" s="25"/>
      <c r="D13" s="2"/>
      <c r="E13" s="2"/>
      <c r="F13" s="6"/>
      <c r="G13" s="4"/>
    </row>
    <row r="14" spans="1:7" ht="15" x14ac:dyDescent="0.2">
      <c r="A14" s="143" t="s">
        <v>48</v>
      </c>
      <c r="B14" s="13"/>
      <c r="C14" s="13"/>
      <c r="D14" s="13"/>
      <c r="E14" s="13"/>
      <c r="F14" s="13"/>
      <c r="G14" s="13"/>
    </row>
    <row r="15" spans="1:7" ht="12.75" customHeight="1" x14ac:dyDescent="0.2">
      <c r="A15" s="12" t="s">
        <v>1</v>
      </c>
      <c r="B15" s="11" t="s">
        <v>2</v>
      </c>
      <c r="C15" s="12" t="s">
        <v>3</v>
      </c>
      <c r="D15" s="11" t="s">
        <v>4</v>
      </c>
      <c r="E15" s="225" t="s">
        <v>5</v>
      </c>
      <c r="F15" s="225"/>
      <c r="G15" s="11" t="s">
        <v>6</v>
      </c>
    </row>
    <row r="16" spans="1:7" x14ac:dyDescent="0.2">
      <c r="A16" s="76">
        <v>8008</v>
      </c>
      <c r="B16" s="77" t="s">
        <v>10</v>
      </c>
      <c r="C16" s="76" t="s">
        <v>49</v>
      </c>
      <c r="D16" s="77">
        <v>1</v>
      </c>
      <c r="E16" s="77"/>
      <c r="F16" s="84">
        <v>21.1</v>
      </c>
      <c r="G16" s="78">
        <f>D16*F16</f>
        <v>21.1</v>
      </c>
    </row>
    <row r="17" spans="1:7" x14ac:dyDescent="0.2">
      <c r="A17" s="76"/>
      <c r="B17" s="79"/>
      <c r="C17" s="76"/>
      <c r="D17" s="77">
        <v>12</v>
      </c>
      <c r="E17" s="77"/>
      <c r="F17" s="84">
        <v>19.399999999999999</v>
      </c>
      <c r="G17" s="78">
        <f>D17*F17</f>
        <v>232.79999999999998</v>
      </c>
    </row>
    <row r="18" spans="1:7" x14ac:dyDescent="0.2">
      <c r="A18" s="76"/>
      <c r="B18" s="79"/>
      <c r="C18" s="76"/>
      <c r="D18" s="77">
        <v>24</v>
      </c>
      <c r="E18" s="77"/>
      <c r="F18" s="84">
        <v>19</v>
      </c>
      <c r="G18" s="78">
        <f>D18*F18</f>
        <v>456</v>
      </c>
    </row>
    <row r="19" spans="1:7" x14ac:dyDescent="0.2">
      <c r="A19" s="76"/>
      <c r="B19" s="79"/>
      <c r="C19" s="76"/>
      <c r="D19" s="77">
        <v>48</v>
      </c>
      <c r="E19" s="77"/>
      <c r="F19" s="84">
        <v>17.2</v>
      </c>
      <c r="G19" s="78">
        <f>D19*F19</f>
        <v>825.59999999999991</v>
      </c>
    </row>
    <row r="20" spans="1:7" x14ac:dyDescent="0.2">
      <c r="A20" s="228"/>
      <c r="B20" s="228"/>
      <c r="C20" s="34"/>
      <c r="D20" s="34"/>
      <c r="E20" s="34"/>
      <c r="F20" s="34"/>
      <c r="G20" s="34"/>
    </row>
    <row r="21" spans="1:7" ht="15" x14ac:dyDescent="0.2">
      <c r="A21" s="143" t="s">
        <v>50</v>
      </c>
      <c r="B21" s="13"/>
      <c r="C21" s="13"/>
      <c r="D21" s="13"/>
      <c r="E21" s="13"/>
      <c r="F21" s="13"/>
      <c r="G21" s="13"/>
    </row>
    <row r="22" spans="1:7" ht="12.75" customHeight="1" x14ac:dyDescent="0.2">
      <c r="A22" s="12" t="s">
        <v>1</v>
      </c>
      <c r="B22" s="11" t="s">
        <v>2</v>
      </c>
      <c r="C22" s="12" t="s">
        <v>3</v>
      </c>
      <c r="D22" s="11" t="s">
        <v>4</v>
      </c>
      <c r="E22" s="225" t="s">
        <v>5</v>
      </c>
      <c r="F22" s="225"/>
      <c r="G22" s="11" t="s">
        <v>6</v>
      </c>
    </row>
    <row r="23" spans="1:7" x14ac:dyDescent="0.2">
      <c r="A23" s="81">
        <v>8071</v>
      </c>
      <c r="B23" s="82" t="s">
        <v>17</v>
      </c>
      <c r="C23" s="76" t="s">
        <v>18</v>
      </c>
      <c r="D23" s="82">
        <v>1</v>
      </c>
      <c r="E23" s="82"/>
      <c r="F23" s="84">
        <v>102.1</v>
      </c>
      <c r="G23" s="83">
        <f>F23*5</f>
        <v>510.5</v>
      </c>
    </row>
    <row r="24" spans="1:7" x14ac:dyDescent="0.2">
      <c r="A24" s="129">
        <v>8399</v>
      </c>
      <c r="B24" s="130" t="s">
        <v>19</v>
      </c>
      <c r="C24" s="122" t="s">
        <v>18</v>
      </c>
      <c r="D24" s="130">
        <v>1</v>
      </c>
      <c r="E24" s="130"/>
      <c r="F24" s="132">
        <v>101.8</v>
      </c>
      <c r="G24" s="131">
        <f>F24*10</f>
        <v>1018</v>
      </c>
    </row>
    <row r="25" spans="1:7" x14ac:dyDescent="0.2">
      <c r="A25" s="81">
        <v>8400</v>
      </c>
      <c r="B25" s="82" t="s">
        <v>20</v>
      </c>
      <c r="C25" s="76" t="s">
        <v>18</v>
      </c>
      <c r="D25" s="82">
        <v>1</v>
      </c>
      <c r="E25" s="80" t="s">
        <v>23</v>
      </c>
      <c r="F25" s="84">
        <v>100.5</v>
      </c>
      <c r="G25" s="83">
        <f>F25*20</f>
        <v>2010</v>
      </c>
    </row>
    <row r="26" spans="1:7" x14ac:dyDescent="0.2">
      <c r="A26" s="129">
        <v>8072</v>
      </c>
      <c r="B26" s="130" t="s">
        <v>38</v>
      </c>
      <c r="C26" s="122" t="s">
        <v>26</v>
      </c>
      <c r="D26" s="130">
        <v>1</v>
      </c>
      <c r="E26" s="128" t="s">
        <v>23</v>
      </c>
      <c r="F26" s="132">
        <v>96.9</v>
      </c>
      <c r="G26" s="131">
        <f>F26*60</f>
        <v>5814</v>
      </c>
    </row>
    <row r="27" spans="1:7" x14ac:dyDescent="0.2">
      <c r="C27" s="1"/>
    </row>
    <row r="28" spans="1:7" ht="15" x14ac:dyDescent="0.2">
      <c r="A28" s="143" t="s">
        <v>51</v>
      </c>
      <c r="B28" s="13"/>
      <c r="C28" s="13"/>
      <c r="D28" s="13"/>
      <c r="E28" s="13"/>
      <c r="F28" s="13"/>
      <c r="G28" s="13"/>
    </row>
    <row r="29" spans="1:7" x14ac:dyDescent="0.2">
      <c r="A29" s="12" t="s">
        <v>1</v>
      </c>
      <c r="B29" s="11" t="s">
        <v>2</v>
      </c>
      <c r="C29" s="12" t="s">
        <v>3</v>
      </c>
      <c r="D29" s="11" t="s">
        <v>4</v>
      </c>
      <c r="E29" s="225" t="s">
        <v>5</v>
      </c>
      <c r="F29" s="225"/>
      <c r="G29" s="11" t="s">
        <v>6</v>
      </c>
    </row>
    <row r="30" spans="1:7" x14ac:dyDescent="0.2">
      <c r="A30" s="76">
        <v>8058</v>
      </c>
      <c r="B30" s="77" t="s">
        <v>15</v>
      </c>
      <c r="C30" s="76" t="s">
        <v>8</v>
      </c>
      <c r="D30" s="77">
        <v>1</v>
      </c>
      <c r="E30" s="80"/>
      <c r="F30" s="84">
        <v>107.9</v>
      </c>
      <c r="G30" s="78">
        <f>D30*F30</f>
        <v>107.9</v>
      </c>
    </row>
    <row r="31" spans="1:7" x14ac:dyDescent="0.2">
      <c r="A31" s="76"/>
      <c r="B31" s="77"/>
      <c r="C31" s="76"/>
      <c r="D31" s="77">
        <v>6</v>
      </c>
      <c r="E31" s="80"/>
      <c r="F31" s="84">
        <v>98.7</v>
      </c>
      <c r="G31" s="78">
        <f>D31*F31</f>
        <v>592.20000000000005</v>
      </c>
    </row>
    <row r="32" spans="1:7" x14ac:dyDescent="0.2">
      <c r="A32" s="76"/>
      <c r="B32" s="79"/>
      <c r="C32" s="76"/>
      <c r="D32" s="77">
        <v>12</v>
      </c>
      <c r="E32" s="80" t="s">
        <v>23</v>
      </c>
      <c r="F32" s="84">
        <v>93.7</v>
      </c>
      <c r="G32" s="78">
        <f>D32*F32</f>
        <v>1124.4000000000001</v>
      </c>
    </row>
    <row r="33" spans="1:7" x14ac:dyDescent="0.2">
      <c r="A33" s="76"/>
      <c r="B33" s="79"/>
      <c r="C33" s="76"/>
      <c r="D33" s="77">
        <v>24</v>
      </c>
      <c r="E33" s="80" t="s">
        <v>23</v>
      </c>
      <c r="F33" s="84">
        <v>89.2</v>
      </c>
      <c r="G33" s="78">
        <f>D33*F33</f>
        <v>2140.8000000000002</v>
      </c>
    </row>
    <row r="34" spans="1:7" x14ac:dyDescent="0.2">
      <c r="A34" s="122">
        <v>8059</v>
      </c>
      <c r="B34" s="130" t="s">
        <v>17</v>
      </c>
      <c r="C34" s="122" t="s">
        <v>18</v>
      </c>
      <c r="D34" s="130">
        <v>1</v>
      </c>
      <c r="E34" s="130"/>
      <c r="F34" s="132">
        <v>86.6</v>
      </c>
      <c r="G34" s="131">
        <f>F34*5</f>
        <v>433</v>
      </c>
    </row>
    <row r="35" spans="1:7" x14ac:dyDescent="0.2">
      <c r="A35" s="81">
        <v>8397</v>
      </c>
      <c r="B35" s="82" t="s">
        <v>19</v>
      </c>
      <c r="C35" s="76" t="s">
        <v>18</v>
      </c>
      <c r="D35" s="82">
        <v>1</v>
      </c>
      <c r="E35" s="82"/>
      <c r="F35" s="84">
        <v>85.6</v>
      </c>
      <c r="G35" s="83">
        <f>F35*10</f>
        <v>856</v>
      </c>
    </row>
    <row r="36" spans="1:7" x14ac:dyDescent="0.2">
      <c r="A36" s="122">
        <v>8398</v>
      </c>
      <c r="B36" s="130" t="s">
        <v>20</v>
      </c>
      <c r="C36" s="122" t="s">
        <v>18</v>
      </c>
      <c r="D36" s="130">
        <v>1</v>
      </c>
      <c r="E36" s="130"/>
      <c r="F36" s="132">
        <v>83.3</v>
      </c>
      <c r="G36" s="131">
        <f>F36*20</f>
        <v>1666</v>
      </c>
    </row>
    <row r="37" spans="1:7" x14ac:dyDescent="0.2">
      <c r="A37" s="76">
        <v>8060</v>
      </c>
      <c r="B37" s="82" t="s">
        <v>38</v>
      </c>
      <c r="C37" s="76" t="s">
        <v>26</v>
      </c>
      <c r="D37" s="82">
        <v>1</v>
      </c>
      <c r="E37" s="80" t="s">
        <v>23</v>
      </c>
      <c r="F37" s="84">
        <v>80.099999999999994</v>
      </c>
      <c r="G37" s="83">
        <f>F37*60</f>
        <v>4806</v>
      </c>
    </row>
    <row r="38" spans="1:7" ht="12.75" customHeight="1" x14ac:dyDescent="0.2">
      <c r="A38" s="35"/>
      <c r="B38" s="32"/>
      <c r="C38" s="39"/>
      <c r="D38" s="32"/>
      <c r="E38" s="32"/>
      <c r="F38" s="33"/>
      <c r="G38" s="30"/>
    </row>
    <row r="39" spans="1:7" ht="15" x14ac:dyDescent="0.2">
      <c r="A39" s="143" t="s">
        <v>52</v>
      </c>
      <c r="B39" s="13"/>
      <c r="C39" s="13"/>
      <c r="D39" s="13"/>
      <c r="E39" s="13"/>
      <c r="F39" s="13"/>
      <c r="G39" s="13"/>
    </row>
    <row r="40" spans="1:7" x14ac:dyDescent="0.2">
      <c r="A40" s="12" t="s">
        <v>1</v>
      </c>
      <c r="B40" s="11" t="s">
        <v>2</v>
      </c>
      <c r="C40" s="12" t="s">
        <v>3</v>
      </c>
      <c r="D40" s="11" t="s">
        <v>4</v>
      </c>
      <c r="E40" s="11" t="s">
        <v>5</v>
      </c>
      <c r="F40" s="11"/>
      <c r="G40" s="11" t="s">
        <v>6</v>
      </c>
    </row>
    <row r="41" spans="1:7" x14ac:dyDescent="0.2">
      <c r="A41" s="76">
        <v>8086</v>
      </c>
      <c r="B41" s="77" t="s">
        <v>15</v>
      </c>
      <c r="C41" s="76" t="s">
        <v>8</v>
      </c>
      <c r="D41" s="77">
        <v>1</v>
      </c>
      <c r="E41" s="80"/>
      <c r="F41" s="84">
        <v>126.6</v>
      </c>
      <c r="G41" s="78">
        <f>D41*F41</f>
        <v>126.6</v>
      </c>
    </row>
    <row r="42" spans="1:7" x14ac:dyDescent="0.2">
      <c r="A42" s="76"/>
      <c r="B42" s="77"/>
      <c r="C42" s="76"/>
      <c r="D42" s="77">
        <v>6</v>
      </c>
      <c r="E42" s="80" t="s">
        <v>23</v>
      </c>
      <c r="F42" s="84">
        <v>115.5</v>
      </c>
      <c r="G42" s="78">
        <f>D42*F42</f>
        <v>693</v>
      </c>
    </row>
    <row r="43" spans="1:7" x14ac:dyDescent="0.2">
      <c r="A43" s="76"/>
      <c r="B43" s="79"/>
      <c r="C43" s="76"/>
      <c r="D43" s="77">
        <v>12</v>
      </c>
      <c r="E43" s="80" t="s">
        <v>23</v>
      </c>
      <c r="F43" s="84">
        <v>110.1</v>
      </c>
      <c r="G43" s="78">
        <f>D43*F43</f>
        <v>1321.1999999999998</v>
      </c>
    </row>
    <row r="44" spans="1:7" x14ac:dyDescent="0.2">
      <c r="A44" s="76"/>
      <c r="B44" s="79"/>
      <c r="C44" s="76"/>
      <c r="D44" s="77">
        <v>24</v>
      </c>
      <c r="E44" s="80" t="s">
        <v>23</v>
      </c>
      <c r="F44" s="84">
        <v>104.6</v>
      </c>
      <c r="G44" s="78">
        <f>D44*F44</f>
        <v>2510.3999999999996</v>
      </c>
    </row>
    <row r="45" spans="1:7" x14ac:dyDescent="0.2">
      <c r="A45" s="122">
        <v>8087</v>
      </c>
      <c r="B45" s="130" t="s">
        <v>17</v>
      </c>
      <c r="C45" s="122" t="s">
        <v>18</v>
      </c>
      <c r="D45" s="130">
        <v>1</v>
      </c>
      <c r="E45" s="130"/>
      <c r="F45" s="132">
        <v>99.7</v>
      </c>
      <c r="G45" s="131">
        <f>F45*5</f>
        <v>498.5</v>
      </c>
    </row>
    <row r="46" spans="1:7" x14ac:dyDescent="0.2">
      <c r="A46" s="81">
        <v>8401</v>
      </c>
      <c r="B46" s="82" t="s">
        <v>19</v>
      </c>
      <c r="C46" s="76" t="s">
        <v>18</v>
      </c>
      <c r="D46" s="82">
        <v>1</v>
      </c>
      <c r="E46" s="82"/>
      <c r="F46" s="84">
        <v>98.5</v>
      </c>
      <c r="G46" s="83">
        <f>F46*10</f>
        <v>985</v>
      </c>
    </row>
    <row r="47" spans="1:7" x14ac:dyDescent="0.2">
      <c r="A47" s="122">
        <v>8402</v>
      </c>
      <c r="B47" s="130" t="s">
        <v>20</v>
      </c>
      <c r="C47" s="122" t="s">
        <v>18</v>
      </c>
      <c r="D47" s="130">
        <v>1</v>
      </c>
      <c r="E47" s="128" t="s">
        <v>23</v>
      </c>
      <c r="F47" s="132">
        <v>96.1</v>
      </c>
      <c r="G47" s="131">
        <f>F47*20</f>
        <v>1922</v>
      </c>
    </row>
    <row r="48" spans="1:7" x14ac:dyDescent="0.2">
      <c r="A48" s="76">
        <v>8088</v>
      </c>
      <c r="B48" s="82" t="s">
        <v>38</v>
      </c>
      <c r="C48" s="76" t="s">
        <v>26</v>
      </c>
      <c r="D48" s="82">
        <v>1</v>
      </c>
      <c r="E48" s="80" t="s">
        <v>23</v>
      </c>
      <c r="F48" s="84">
        <v>93</v>
      </c>
      <c r="G48" s="83">
        <f>F48*60</f>
        <v>5580</v>
      </c>
    </row>
    <row r="50" spans="1:7" x14ac:dyDescent="0.2">
      <c r="A50" s="31"/>
      <c r="B50" s="32"/>
      <c r="C50" s="39"/>
      <c r="D50" s="32"/>
      <c r="E50" s="32"/>
      <c r="F50" s="33"/>
      <c r="G50" s="30"/>
    </row>
    <row r="51" spans="1:7" ht="12.75" customHeight="1" x14ac:dyDescent="0.2">
      <c r="A51" s="31"/>
      <c r="B51" s="32"/>
      <c r="C51" s="39"/>
      <c r="D51" s="32"/>
      <c r="E51" s="32"/>
      <c r="F51" s="33"/>
      <c r="G51" s="30"/>
    </row>
    <row r="52" spans="1:7" x14ac:dyDescent="0.2">
      <c r="A52" s="228"/>
      <c r="B52" s="228"/>
      <c r="C52" s="34"/>
      <c r="D52" s="34"/>
      <c r="E52" s="34"/>
      <c r="F52" s="34"/>
      <c r="G52" s="34"/>
    </row>
    <row r="53" spans="1:7" x14ac:dyDescent="0.2">
      <c r="A53" s="228"/>
      <c r="B53" s="228"/>
      <c r="C53" s="34"/>
      <c r="D53" s="34"/>
      <c r="E53" s="34"/>
      <c r="F53" s="34"/>
      <c r="G53" s="34"/>
    </row>
    <row r="54" spans="1:7" x14ac:dyDescent="0.2">
      <c r="A54" s="35"/>
      <c r="B54" s="35"/>
      <c r="C54" s="35"/>
      <c r="D54" s="35"/>
      <c r="E54" s="35"/>
      <c r="F54" s="35"/>
      <c r="G54" s="35"/>
    </row>
    <row r="55" spans="1:7" x14ac:dyDescent="0.2">
      <c r="A55" s="31"/>
      <c r="B55" s="32"/>
      <c r="C55" s="39"/>
      <c r="D55" s="32"/>
      <c r="E55" s="32"/>
      <c r="F55" s="33"/>
      <c r="G55" s="30"/>
    </row>
    <row r="56" spans="1:7" x14ac:dyDescent="0.2">
      <c r="A56" s="31"/>
      <c r="B56" s="32"/>
      <c r="C56" s="39"/>
      <c r="D56" s="32"/>
      <c r="E56" s="32"/>
      <c r="F56" s="33"/>
      <c r="G56" s="30"/>
    </row>
    <row r="57" spans="1:7" x14ac:dyDescent="0.2">
      <c r="A57" s="31"/>
      <c r="B57" s="32"/>
      <c r="C57" s="39"/>
      <c r="D57" s="32"/>
      <c r="E57" s="32"/>
      <c r="F57" s="33"/>
      <c r="G57" s="30"/>
    </row>
    <row r="58" spans="1:7" x14ac:dyDescent="0.2">
      <c r="A58" s="31"/>
      <c r="B58" s="32"/>
      <c r="C58" s="39"/>
      <c r="D58" s="32"/>
      <c r="E58" s="32"/>
      <c r="F58" s="33"/>
      <c r="G58" s="30"/>
    </row>
    <row r="59" spans="1:7" x14ac:dyDescent="0.2">
      <c r="A59" s="31"/>
      <c r="B59" s="32"/>
      <c r="C59" s="39"/>
      <c r="D59" s="32"/>
      <c r="E59" s="32"/>
      <c r="F59" s="33"/>
      <c r="G59" s="30"/>
    </row>
    <row r="60" spans="1:7" x14ac:dyDescent="0.2">
      <c r="A60" s="3"/>
      <c r="D60" s="16"/>
      <c r="E60" s="16"/>
      <c r="F60" s="15"/>
      <c r="G60" s="17"/>
    </row>
    <row r="61" spans="1:7" x14ac:dyDescent="0.2">
      <c r="A61" s="3"/>
      <c r="D61" s="16"/>
      <c r="E61" s="16"/>
      <c r="F61" s="15"/>
      <c r="G61" s="17"/>
    </row>
    <row r="62" spans="1:7" x14ac:dyDescent="0.2">
      <c r="A62" s="3"/>
      <c r="D62" s="16"/>
      <c r="E62" s="16"/>
      <c r="F62" s="15"/>
      <c r="G62" s="17"/>
    </row>
    <row r="63" spans="1:7" x14ac:dyDescent="0.2">
      <c r="A63" s="3"/>
      <c r="D63" s="16"/>
      <c r="E63" s="16"/>
      <c r="F63" s="15"/>
      <c r="G63" s="17"/>
    </row>
  </sheetData>
  <mergeCells count="8">
    <mergeCell ref="A1:G3"/>
    <mergeCell ref="A20:B20"/>
    <mergeCell ref="A52:B52"/>
    <mergeCell ref="A53:B53"/>
    <mergeCell ref="E6:F6"/>
    <mergeCell ref="E15:F15"/>
    <mergeCell ref="E22:F22"/>
    <mergeCell ref="E29:F29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81D3-2BDF-43F5-B4AA-F99968A752BA}">
  <sheetPr codeName="Blad2"/>
  <dimension ref="A1:K191"/>
  <sheetViews>
    <sheetView showGridLines="0" zoomScaleNormal="100" workbookViewId="0">
      <selection activeCell="M193" sqref="M193"/>
    </sheetView>
  </sheetViews>
  <sheetFormatPr defaultColWidth="9.140625" defaultRowHeight="12.75" x14ac:dyDescent="0.2"/>
  <cols>
    <col min="1" max="1" width="13.7109375" style="1" customWidth="1"/>
    <col min="2" max="2" width="11.5703125" style="1" customWidth="1"/>
    <col min="3" max="3" width="20.28515625" style="3" customWidth="1"/>
    <col min="4" max="4" width="8.140625" style="1" customWidth="1"/>
    <col min="5" max="5" width="2" style="1" customWidth="1"/>
    <col min="6" max="6" width="19.42578125" style="1" customWidth="1"/>
    <col min="7" max="7" width="20.28515625" style="1" customWidth="1"/>
    <col min="8" max="8" width="9.140625" style="1"/>
    <col min="9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D4" s="2"/>
      <c r="E4" s="2"/>
      <c r="F4" s="2"/>
      <c r="G4" s="2"/>
    </row>
    <row r="5" spans="1:7" ht="15" x14ac:dyDescent="0.2">
      <c r="A5" s="224" t="s">
        <v>53</v>
      </c>
      <c r="B5" s="224"/>
      <c r="C5" s="18"/>
      <c r="D5" s="18"/>
      <c r="E5" s="18"/>
      <c r="F5" s="18"/>
      <c r="G5" s="18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225" t="s">
        <v>5</v>
      </c>
      <c r="F6" s="225"/>
      <c r="G6" s="11" t="s">
        <v>6</v>
      </c>
    </row>
    <row r="7" spans="1:7" ht="12.75" customHeight="1" x14ac:dyDescent="0.2">
      <c r="A7" s="85">
        <v>8531</v>
      </c>
      <c r="B7" s="86" t="s">
        <v>54</v>
      </c>
      <c r="C7" s="85" t="s">
        <v>55</v>
      </c>
      <c r="D7" s="86">
        <v>1</v>
      </c>
      <c r="E7" s="86"/>
      <c r="F7" s="87">
        <v>31.1</v>
      </c>
      <c r="G7" s="88">
        <f t="shared" ref="G7:G18" si="0">D7*F7</f>
        <v>31.1</v>
      </c>
    </row>
    <row r="8" spans="1:7" x14ac:dyDescent="0.2">
      <c r="A8" s="85"/>
      <c r="B8" s="86"/>
      <c r="C8" s="85"/>
      <c r="D8" s="86">
        <v>12</v>
      </c>
      <c r="E8" s="86"/>
      <c r="F8" s="87">
        <v>29.8</v>
      </c>
      <c r="G8" s="88">
        <f t="shared" si="0"/>
        <v>357.6</v>
      </c>
    </row>
    <row r="9" spans="1:7" x14ac:dyDescent="0.2">
      <c r="A9" s="85"/>
      <c r="B9" s="86"/>
      <c r="C9" s="85"/>
      <c r="D9" s="86">
        <v>24</v>
      </c>
      <c r="E9" s="86"/>
      <c r="F9" s="87">
        <v>28.2</v>
      </c>
      <c r="G9" s="88">
        <f t="shared" si="0"/>
        <v>676.8</v>
      </c>
    </row>
    <row r="10" spans="1:7" x14ac:dyDescent="0.2">
      <c r="A10" s="85"/>
      <c r="B10" s="86"/>
      <c r="C10" s="85"/>
      <c r="D10" s="86">
        <v>48</v>
      </c>
      <c r="E10" s="86"/>
      <c r="F10" s="87">
        <v>26.9</v>
      </c>
      <c r="G10" s="88">
        <f t="shared" si="0"/>
        <v>1291.1999999999998</v>
      </c>
    </row>
    <row r="11" spans="1:7" x14ac:dyDescent="0.2">
      <c r="A11" s="122">
        <v>9088</v>
      </c>
      <c r="B11" s="123" t="s">
        <v>54</v>
      </c>
      <c r="C11" s="122" t="s">
        <v>56</v>
      </c>
      <c r="D11" s="123">
        <v>1</v>
      </c>
      <c r="E11" s="123"/>
      <c r="F11" s="132">
        <v>31.1</v>
      </c>
      <c r="G11" s="125">
        <f t="shared" si="0"/>
        <v>31.1</v>
      </c>
    </row>
    <row r="12" spans="1:7" x14ac:dyDescent="0.2">
      <c r="A12" s="122"/>
      <c r="B12" s="123"/>
      <c r="C12" s="122"/>
      <c r="D12" s="123">
        <v>12</v>
      </c>
      <c r="E12" s="123"/>
      <c r="F12" s="132">
        <v>29.8</v>
      </c>
      <c r="G12" s="125">
        <f t="shared" si="0"/>
        <v>357.6</v>
      </c>
    </row>
    <row r="13" spans="1:7" x14ac:dyDescent="0.2">
      <c r="A13" s="122"/>
      <c r="B13" s="123"/>
      <c r="C13" s="122"/>
      <c r="D13" s="123">
        <v>24</v>
      </c>
      <c r="E13" s="123"/>
      <c r="F13" s="132">
        <v>28.2</v>
      </c>
      <c r="G13" s="125">
        <f t="shared" si="0"/>
        <v>676.8</v>
      </c>
    </row>
    <row r="14" spans="1:7" x14ac:dyDescent="0.2">
      <c r="A14" s="122"/>
      <c r="B14" s="123"/>
      <c r="C14" s="122"/>
      <c r="D14" s="123">
        <v>48</v>
      </c>
      <c r="E14" s="128"/>
      <c r="F14" s="132">
        <v>26.9</v>
      </c>
      <c r="G14" s="125">
        <f t="shared" si="0"/>
        <v>1291.1999999999998</v>
      </c>
    </row>
    <row r="15" spans="1:7" x14ac:dyDescent="0.2">
      <c r="A15" s="85">
        <v>8023</v>
      </c>
      <c r="B15" s="86" t="s">
        <v>15</v>
      </c>
      <c r="C15" s="85" t="s">
        <v>57</v>
      </c>
      <c r="D15" s="89">
        <v>1</v>
      </c>
      <c r="E15" s="89"/>
      <c r="F15" s="87">
        <v>62.9</v>
      </c>
      <c r="G15" s="88">
        <f t="shared" si="0"/>
        <v>62.9</v>
      </c>
    </row>
    <row r="16" spans="1:7" x14ac:dyDescent="0.2">
      <c r="A16" s="85"/>
      <c r="B16" s="86"/>
      <c r="C16" s="85"/>
      <c r="D16" s="89">
        <v>6</v>
      </c>
      <c r="E16" s="89"/>
      <c r="F16" s="87">
        <v>57.1</v>
      </c>
      <c r="G16" s="88">
        <f t="shared" si="0"/>
        <v>342.6</v>
      </c>
    </row>
    <row r="17" spans="1:7" x14ac:dyDescent="0.2">
      <c r="A17" s="85"/>
      <c r="B17" s="86"/>
      <c r="C17" s="85"/>
      <c r="D17" s="89">
        <v>12</v>
      </c>
      <c r="E17" s="89"/>
      <c r="F17" s="87">
        <v>51.8</v>
      </c>
      <c r="G17" s="88">
        <f t="shared" si="0"/>
        <v>621.59999999999991</v>
      </c>
    </row>
    <row r="18" spans="1:7" x14ac:dyDescent="0.2">
      <c r="A18" s="85"/>
      <c r="B18" s="86"/>
      <c r="C18" s="85"/>
      <c r="D18" s="89">
        <v>24</v>
      </c>
      <c r="E18" s="89"/>
      <c r="F18" s="87">
        <v>49.4</v>
      </c>
      <c r="G18" s="88">
        <f t="shared" si="0"/>
        <v>1185.5999999999999</v>
      </c>
    </row>
    <row r="19" spans="1:7" ht="12.75" customHeight="1" x14ac:dyDescent="0.2">
      <c r="A19" s="122">
        <v>8553</v>
      </c>
      <c r="B19" s="123" t="s">
        <v>58</v>
      </c>
      <c r="C19" s="122" t="s">
        <v>59</v>
      </c>
      <c r="D19" s="123">
        <v>1</v>
      </c>
      <c r="E19" s="123"/>
      <c r="F19" s="132">
        <v>47.1</v>
      </c>
      <c r="G19" s="125">
        <f>F19*13</f>
        <v>612.30000000000007</v>
      </c>
    </row>
    <row r="20" spans="1:7" x14ac:dyDescent="0.2">
      <c r="A20" s="85">
        <v>8025</v>
      </c>
      <c r="B20" s="86" t="s">
        <v>37</v>
      </c>
      <c r="C20" s="85" t="s">
        <v>26</v>
      </c>
      <c r="D20" s="86">
        <v>1</v>
      </c>
      <c r="E20" s="86"/>
      <c r="F20" s="87">
        <v>38.1</v>
      </c>
      <c r="G20" s="90">
        <f>F20*30</f>
        <v>1143</v>
      </c>
    </row>
    <row r="21" spans="1:7" x14ac:dyDescent="0.2">
      <c r="A21" s="122">
        <v>8026</v>
      </c>
      <c r="B21" s="123" t="s">
        <v>38</v>
      </c>
      <c r="C21" s="122" t="s">
        <v>26</v>
      </c>
      <c r="D21" s="123">
        <v>1</v>
      </c>
      <c r="E21" s="123"/>
      <c r="F21" s="132">
        <v>36.700000000000003</v>
      </c>
      <c r="G21" s="125">
        <f>F21*60</f>
        <v>2202</v>
      </c>
    </row>
    <row r="22" spans="1:7" x14ac:dyDescent="0.2">
      <c r="A22" s="85">
        <v>8640</v>
      </c>
      <c r="B22" s="86" t="s">
        <v>25</v>
      </c>
      <c r="C22" s="85" t="s">
        <v>26</v>
      </c>
      <c r="D22" s="86">
        <v>1</v>
      </c>
      <c r="E22" s="86"/>
      <c r="F22" s="87">
        <v>35.5</v>
      </c>
      <c r="G22" s="88">
        <f>F22*200</f>
        <v>7100</v>
      </c>
    </row>
    <row r="23" spans="1:7" x14ac:dyDescent="0.2">
      <c r="A23" s="3"/>
      <c r="D23" s="2"/>
      <c r="E23" s="2"/>
      <c r="F23" s="6"/>
      <c r="G23" s="4"/>
    </row>
    <row r="24" spans="1:7" ht="15" x14ac:dyDescent="0.2">
      <c r="A24" s="224" t="s">
        <v>60</v>
      </c>
      <c r="B24" s="224"/>
      <c r="C24" s="18"/>
      <c r="D24" s="18"/>
      <c r="E24" s="18"/>
      <c r="F24" s="18"/>
      <c r="G24" s="18"/>
    </row>
    <row r="25" spans="1:7" x14ac:dyDescent="0.2">
      <c r="A25" s="12" t="s">
        <v>1</v>
      </c>
      <c r="B25" s="11" t="s">
        <v>2</v>
      </c>
      <c r="C25" s="12" t="s">
        <v>3</v>
      </c>
      <c r="D25" s="11" t="s">
        <v>4</v>
      </c>
      <c r="E25" s="225" t="s">
        <v>5</v>
      </c>
      <c r="F25" s="225"/>
      <c r="G25" s="11" t="s">
        <v>6</v>
      </c>
    </row>
    <row r="26" spans="1:7" ht="12.75" customHeight="1" x14ac:dyDescent="0.2">
      <c r="A26" s="85">
        <v>8724</v>
      </c>
      <c r="B26" s="86" t="s">
        <v>54</v>
      </c>
      <c r="C26" s="85" t="s">
        <v>55</v>
      </c>
      <c r="D26" s="86">
        <v>1</v>
      </c>
      <c r="E26" s="96"/>
      <c r="F26" s="87">
        <v>32.5</v>
      </c>
      <c r="G26" s="88">
        <f t="shared" ref="G26:G33" si="1">D26*F26</f>
        <v>32.5</v>
      </c>
    </row>
    <row r="27" spans="1:7" ht="12.75" customHeight="1" x14ac:dyDescent="0.2">
      <c r="A27" s="85"/>
      <c r="B27" s="86"/>
      <c r="C27" s="85"/>
      <c r="D27" s="86">
        <v>12</v>
      </c>
      <c r="E27" s="96"/>
      <c r="F27" s="87">
        <v>29.8</v>
      </c>
      <c r="G27" s="88">
        <f t="shared" ref="G27" si="2">D27*F27</f>
        <v>357.6</v>
      </c>
    </row>
    <row r="28" spans="1:7" x14ac:dyDescent="0.2">
      <c r="A28" s="85"/>
      <c r="B28" s="86"/>
      <c r="C28" s="85"/>
      <c r="D28" s="86">
        <v>24</v>
      </c>
      <c r="E28" s="96"/>
      <c r="F28" s="87">
        <v>28.2</v>
      </c>
      <c r="G28" s="88">
        <f t="shared" si="1"/>
        <v>676.8</v>
      </c>
    </row>
    <row r="29" spans="1:7" x14ac:dyDescent="0.2">
      <c r="A29" s="85"/>
      <c r="B29" s="86"/>
      <c r="C29" s="85"/>
      <c r="D29" s="86">
        <v>48</v>
      </c>
      <c r="E29" s="96" t="s">
        <v>23</v>
      </c>
      <c r="F29" s="87">
        <v>26.9</v>
      </c>
      <c r="G29" s="88">
        <f t="shared" si="1"/>
        <v>1291.1999999999998</v>
      </c>
    </row>
    <row r="30" spans="1:7" x14ac:dyDescent="0.2">
      <c r="A30" s="122">
        <v>9149</v>
      </c>
      <c r="B30" s="123" t="s">
        <v>54</v>
      </c>
      <c r="C30" s="122" t="s">
        <v>56</v>
      </c>
      <c r="D30" s="123">
        <v>1</v>
      </c>
      <c r="E30" s="128"/>
      <c r="F30" s="132">
        <v>32.5</v>
      </c>
      <c r="G30" s="125">
        <f t="shared" si="1"/>
        <v>32.5</v>
      </c>
    </row>
    <row r="31" spans="1:7" x14ac:dyDescent="0.2">
      <c r="A31" s="122"/>
      <c r="B31" s="123"/>
      <c r="C31" s="122"/>
      <c r="D31" s="123">
        <v>12</v>
      </c>
      <c r="E31" s="128"/>
      <c r="F31" s="132">
        <v>29.8</v>
      </c>
      <c r="G31" s="125">
        <f t="shared" ref="G31" si="3">D31*F31</f>
        <v>357.6</v>
      </c>
    </row>
    <row r="32" spans="1:7" x14ac:dyDescent="0.2">
      <c r="A32" s="124"/>
      <c r="B32" s="124"/>
      <c r="C32" s="124"/>
      <c r="D32" s="123">
        <v>24</v>
      </c>
      <c r="E32" s="128"/>
      <c r="F32" s="132">
        <v>28.2</v>
      </c>
      <c r="G32" s="125">
        <f t="shared" si="1"/>
        <v>676.8</v>
      </c>
    </row>
    <row r="33" spans="1:7" x14ac:dyDescent="0.2">
      <c r="A33" s="122"/>
      <c r="B33" s="123"/>
      <c r="C33" s="122"/>
      <c r="D33" s="123">
        <v>48</v>
      </c>
      <c r="E33" s="128" t="s">
        <v>23</v>
      </c>
      <c r="F33" s="132">
        <v>26.9</v>
      </c>
      <c r="G33" s="125">
        <f t="shared" si="1"/>
        <v>1291.1999999999998</v>
      </c>
    </row>
    <row r="34" spans="1:7" x14ac:dyDescent="0.2">
      <c r="A34" s="85">
        <v>8727</v>
      </c>
      <c r="B34" s="86" t="s">
        <v>58</v>
      </c>
      <c r="C34" s="85" t="s">
        <v>59</v>
      </c>
      <c r="D34" s="86">
        <v>1</v>
      </c>
      <c r="E34" s="96" t="s">
        <v>23</v>
      </c>
      <c r="F34" s="87">
        <v>47.1</v>
      </c>
      <c r="G34" s="88">
        <f>F34*13</f>
        <v>612.30000000000007</v>
      </c>
    </row>
    <row r="35" spans="1:7" x14ac:dyDescent="0.2">
      <c r="A35" s="122">
        <v>8728</v>
      </c>
      <c r="B35" s="123" t="s">
        <v>37</v>
      </c>
      <c r="C35" s="122" t="s">
        <v>26</v>
      </c>
      <c r="D35" s="124">
        <v>1</v>
      </c>
      <c r="E35" s="124"/>
      <c r="F35" s="132">
        <v>38.1</v>
      </c>
      <c r="G35" s="135">
        <f>F35*30</f>
        <v>1143</v>
      </c>
    </row>
    <row r="36" spans="1:7" x14ac:dyDescent="0.2">
      <c r="A36" s="85">
        <v>8729</v>
      </c>
      <c r="B36" s="86" t="s">
        <v>38</v>
      </c>
      <c r="C36" s="85" t="s">
        <v>26</v>
      </c>
      <c r="D36" s="86">
        <v>1</v>
      </c>
      <c r="E36" s="96" t="s">
        <v>23</v>
      </c>
      <c r="F36" s="87">
        <v>36.700000000000003</v>
      </c>
      <c r="G36" s="88">
        <f>F36*60</f>
        <v>2202</v>
      </c>
    </row>
    <row r="37" spans="1:7" x14ac:dyDescent="0.2">
      <c r="A37" s="122">
        <v>8730</v>
      </c>
      <c r="B37" s="123" t="s">
        <v>25</v>
      </c>
      <c r="C37" s="122" t="s">
        <v>26</v>
      </c>
      <c r="D37" s="123">
        <v>1</v>
      </c>
      <c r="E37" s="128" t="s">
        <v>23</v>
      </c>
      <c r="F37" s="132">
        <v>35.5</v>
      </c>
      <c r="G37" s="125">
        <f>F37*200</f>
        <v>7100</v>
      </c>
    </row>
    <row r="38" spans="1:7" x14ac:dyDescent="0.2">
      <c r="C38" s="1"/>
    </row>
    <row r="39" spans="1:7" ht="15" x14ac:dyDescent="0.2">
      <c r="A39" s="153" t="s">
        <v>61</v>
      </c>
      <c r="B39" s="153"/>
      <c r="C39" s="18"/>
      <c r="D39" s="18"/>
      <c r="E39" s="18"/>
      <c r="F39" s="18"/>
      <c r="G39" s="18"/>
    </row>
    <row r="40" spans="1:7" x14ac:dyDescent="0.2">
      <c r="A40" s="12" t="s">
        <v>1</v>
      </c>
      <c r="B40" s="11" t="s">
        <v>2</v>
      </c>
      <c r="C40" s="12" t="s">
        <v>3</v>
      </c>
      <c r="D40" s="11" t="s">
        <v>4</v>
      </c>
      <c r="E40" s="11" t="s">
        <v>5</v>
      </c>
      <c r="F40" s="11"/>
      <c r="G40" s="11" t="s">
        <v>6</v>
      </c>
    </row>
    <row r="41" spans="1:7" x14ac:dyDescent="0.2">
      <c r="A41" s="85">
        <v>8620</v>
      </c>
      <c r="B41" s="86" t="s">
        <v>15</v>
      </c>
      <c r="C41" s="85" t="s">
        <v>57</v>
      </c>
      <c r="D41" s="89">
        <v>1</v>
      </c>
      <c r="E41" s="96"/>
      <c r="F41" s="87">
        <v>62.9</v>
      </c>
      <c r="G41" s="88">
        <f>D41*F41</f>
        <v>62.9</v>
      </c>
    </row>
    <row r="42" spans="1:7" x14ac:dyDescent="0.2">
      <c r="A42" s="85"/>
      <c r="B42" s="86"/>
      <c r="C42" s="85"/>
      <c r="D42" s="89">
        <v>6</v>
      </c>
      <c r="E42" s="96"/>
      <c r="F42" s="87">
        <v>57.1</v>
      </c>
      <c r="G42" s="88">
        <f>D42*F42</f>
        <v>342.6</v>
      </c>
    </row>
    <row r="43" spans="1:7" x14ac:dyDescent="0.2">
      <c r="A43" s="85"/>
      <c r="B43" s="86"/>
      <c r="C43" s="85"/>
      <c r="D43" s="89">
        <v>12</v>
      </c>
      <c r="E43" s="96" t="s">
        <v>23</v>
      </c>
      <c r="F43" s="87">
        <v>51.8</v>
      </c>
      <c r="G43" s="88">
        <f>D43*F43</f>
        <v>621.59999999999991</v>
      </c>
    </row>
    <row r="44" spans="1:7" ht="12.75" customHeight="1" x14ac:dyDescent="0.2">
      <c r="A44" s="85"/>
      <c r="B44" s="86"/>
      <c r="C44" s="85"/>
      <c r="D44" s="89">
        <v>24</v>
      </c>
      <c r="E44" s="96" t="s">
        <v>23</v>
      </c>
      <c r="F44" s="87">
        <v>49.4</v>
      </c>
      <c r="G44" s="88">
        <f>D44*F44</f>
        <v>1185.5999999999999</v>
      </c>
    </row>
    <row r="45" spans="1:7" x14ac:dyDescent="0.2">
      <c r="A45" s="122">
        <v>8554</v>
      </c>
      <c r="B45" s="123" t="s">
        <v>58</v>
      </c>
      <c r="C45" s="122" t="s">
        <v>59</v>
      </c>
      <c r="D45" s="123">
        <v>1</v>
      </c>
      <c r="E45" s="123"/>
      <c r="F45" s="132">
        <v>47.1</v>
      </c>
      <c r="G45" s="125">
        <f>F45*13</f>
        <v>612.30000000000007</v>
      </c>
    </row>
    <row r="46" spans="1:7" x14ac:dyDescent="0.2">
      <c r="A46" s="85">
        <v>8030</v>
      </c>
      <c r="B46" s="86" t="s">
        <v>37</v>
      </c>
      <c r="C46" s="85" t="s">
        <v>26</v>
      </c>
      <c r="D46" s="86">
        <v>1</v>
      </c>
      <c r="E46" s="86"/>
      <c r="F46" s="87">
        <v>38.1</v>
      </c>
      <c r="G46" s="90">
        <f>F46*30</f>
        <v>1143</v>
      </c>
    </row>
    <row r="47" spans="1:7" x14ac:dyDescent="0.2">
      <c r="A47" s="122">
        <v>8183</v>
      </c>
      <c r="B47" s="123" t="s">
        <v>38</v>
      </c>
      <c r="C47" s="122" t="s">
        <v>26</v>
      </c>
      <c r="D47" s="123">
        <v>1</v>
      </c>
      <c r="E47" s="123"/>
      <c r="F47" s="132">
        <v>36.700000000000003</v>
      </c>
      <c r="G47" s="125">
        <f>F47*60</f>
        <v>2202</v>
      </c>
    </row>
    <row r="48" spans="1:7" x14ac:dyDescent="0.2">
      <c r="A48" s="85">
        <v>8832</v>
      </c>
      <c r="B48" s="86" t="s">
        <v>25</v>
      </c>
      <c r="C48" s="85" t="s">
        <v>26</v>
      </c>
      <c r="D48" s="86">
        <v>1</v>
      </c>
      <c r="E48" s="96" t="s">
        <v>23</v>
      </c>
      <c r="F48" s="87">
        <v>35.5</v>
      </c>
      <c r="G48" s="88">
        <f>F48*200</f>
        <v>7100</v>
      </c>
    </row>
    <row r="49" spans="1:7" x14ac:dyDescent="0.2">
      <c r="A49" s="3"/>
      <c r="D49" s="2"/>
      <c r="E49" s="2"/>
      <c r="F49" s="6"/>
      <c r="G49" s="4"/>
    </row>
    <row r="50" spans="1:7" ht="15" x14ac:dyDescent="0.2">
      <c r="A50" s="153" t="s">
        <v>62</v>
      </c>
      <c r="B50" s="121"/>
      <c r="C50" s="18"/>
      <c r="D50" s="18"/>
      <c r="E50" s="18"/>
      <c r="F50" s="18"/>
      <c r="G50" s="18"/>
    </row>
    <row r="51" spans="1:7" x14ac:dyDescent="0.2">
      <c r="A51" s="12" t="s">
        <v>1</v>
      </c>
      <c r="B51" s="11" t="s">
        <v>2</v>
      </c>
      <c r="C51" s="12" t="s">
        <v>3</v>
      </c>
      <c r="D51" s="11" t="s">
        <v>4</v>
      </c>
      <c r="E51" s="11" t="s">
        <v>5</v>
      </c>
      <c r="F51" s="11"/>
      <c r="G51" s="11" t="s">
        <v>6</v>
      </c>
    </row>
    <row r="52" spans="1:7" x14ac:dyDescent="0.2">
      <c r="A52" s="85">
        <v>8959</v>
      </c>
      <c r="B52" s="86" t="s">
        <v>54</v>
      </c>
      <c r="C52" s="85" t="s">
        <v>55</v>
      </c>
      <c r="D52" s="86">
        <v>1</v>
      </c>
      <c r="E52" s="96" t="s">
        <v>23</v>
      </c>
      <c r="F52" s="87">
        <v>40</v>
      </c>
      <c r="G52" s="88">
        <f t="shared" ref="G52:G59" si="4">D52*F52</f>
        <v>40</v>
      </c>
    </row>
    <row r="53" spans="1:7" x14ac:dyDescent="0.2">
      <c r="A53" s="89"/>
      <c r="B53" s="89"/>
      <c r="C53" s="89"/>
      <c r="D53" s="86">
        <v>12</v>
      </c>
      <c r="E53" s="96" t="s">
        <v>23</v>
      </c>
      <c r="F53" s="87">
        <v>36.4</v>
      </c>
      <c r="G53" s="88">
        <f t="shared" si="4"/>
        <v>436.79999999999995</v>
      </c>
    </row>
    <row r="54" spans="1:7" x14ac:dyDescent="0.2">
      <c r="A54" s="94"/>
      <c r="B54" s="95"/>
      <c r="C54" s="94"/>
      <c r="D54" s="86">
        <v>24</v>
      </c>
      <c r="E54" s="96" t="s">
        <v>23</v>
      </c>
      <c r="F54" s="87">
        <v>34.799999999999997</v>
      </c>
      <c r="G54" s="88">
        <f t="shared" si="4"/>
        <v>835.19999999999993</v>
      </c>
    </row>
    <row r="55" spans="1:7" x14ac:dyDescent="0.2">
      <c r="A55" s="94"/>
      <c r="B55" s="95"/>
      <c r="C55" s="94"/>
      <c r="D55" s="86">
        <v>48</v>
      </c>
      <c r="E55" s="96" t="s">
        <v>23</v>
      </c>
      <c r="F55" s="87">
        <v>33</v>
      </c>
      <c r="G55" s="88">
        <f t="shared" si="4"/>
        <v>1584</v>
      </c>
    </row>
    <row r="56" spans="1:7" ht="12.75" customHeight="1" x14ac:dyDescent="0.2">
      <c r="A56" s="122">
        <v>6744</v>
      </c>
      <c r="B56" s="123" t="s">
        <v>54</v>
      </c>
      <c r="C56" s="122" t="s">
        <v>56</v>
      </c>
      <c r="D56" s="123">
        <v>1</v>
      </c>
      <c r="E56" s="128" t="s">
        <v>23</v>
      </c>
      <c r="F56" s="132">
        <v>40</v>
      </c>
      <c r="G56" s="125">
        <f t="shared" si="4"/>
        <v>40</v>
      </c>
    </row>
    <row r="57" spans="1:7" x14ac:dyDescent="0.2">
      <c r="A57" s="124"/>
      <c r="B57" s="124"/>
      <c r="C57" s="124"/>
      <c r="D57" s="123">
        <v>12</v>
      </c>
      <c r="E57" s="128" t="s">
        <v>23</v>
      </c>
      <c r="F57" s="132">
        <v>36.4</v>
      </c>
      <c r="G57" s="125">
        <f t="shared" si="4"/>
        <v>436.79999999999995</v>
      </c>
    </row>
    <row r="58" spans="1:7" x14ac:dyDescent="0.2">
      <c r="A58" s="122"/>
      <c r="B58" s="123"/>
      <c r="C58" s="122"/>
      <c r="D58" s="123">
        <v>24</v>
      </c>
      <c r="E58" s="128" t="s">
        <v>23</v>
      </c>
      <c r="F58" s="132">
        <v>34.799999999999997</v>
      </c>
      <c r="G58" s="125">
        <f t="shared" si="4"/>
        <v>835.19999999999993</v>
      </c>
    </row>
    <row r="59" spans="1:7" x14ac:dyDescent="0.2">
      <c r="A59" s="122"/>
      <c r="B59" s="123"/>
      <c r="C59" s="122"/>
      <c r="D59" s="123">
        <v>48</v>
      </c>
      <c r="E59" s="128" t="s">
        <v>23</v>
      </c>
      <c r="F59" s="132">
        <v>33</v>
      </c>
      <c r="G59" s="125">
        <f t="shared" si="4"/>
        <v>1584</v>
      </c>
    </row>
    <row r="60" spans="1:7" x14ac:dyDescent="0.2">
      <c r="A60" s="85">
        <v>8963</v>
      </c>
      <c r="B60" s="86" t="s">
        <v>58</v>
      </c>
      <c r="C60" s="85" t="s">
        <v>59</v>
      </c>
      <c r="D60" s="86">
        <v>1</v>
      </c>
      <c r="E60" s="96" t="s">
        <v>23</v>
      </c>
      <c r="F60" s="87">
        <v>56</v>
      </c>
      <c r="G60" s="88">
        <f>F60*13</f>
        <v>728</v>
      </c>
    </row>
    <row r="61" spans="1:7" x14ac:dyDescent="0.2">
      <c r="A61" s="122">
        <v>8965</v>
      </c>
      <c r="B61" s="123" t="s">
        <v>37</v>
      </c>
      <c r="C61" s="122" t="s">
        <v>26</v>
      </c>
      <c r="D61" s="124">
        <v>1</v>
      </c>
      <c r="E61" s="128"/>
      <c r="F61" s="132">
        <v>52</v>
      </c>
      <c r="G61" s="135">
        <f>F61*30</f>
        <v>1560</v>
      </c>
    </row>
    <row r="62" spans="1:7" x14ac:dyDescent="0.2">
      <c r="A62" s="85">
        <v>8966</v>
      </c>
      <c r="B62" s="86" t="s">
        <v>38</v>
      </c>
      <c r="C62" s="85" t="s">
        <v>26</v>
      </c>
      <c r="D62" s="86">
        <v>1</v>
      </c>
      <c r="E62" s="96" t="s">
        <v>23</v>
      </c>
      <c r="F62" s="87">
        <v>48.7</v>
      </c>
      <c r="G62" s="88">
        <f>F62*60</f>
        <v>2922</v>
      </c>
    </row>
    <row r="63" spans="1:7" x14ac:dyDescent="0.2">
      <c r="A63" s="122">
        <v>8967</v>
      </c>
      <c r="B63" s="123" t="s">
        <v>25</v>
      </c>
      <c r="C63" s="122" t="s">
        <v>26</v>
      </c>
      <c r="D63" s="124">
        <v>1</v>
      </c>
      <c r="E63" s="128" t="s">
        <v>23</v>
      </c>
      <c r="F63" s="132">
        <v>46.1</v>
      </c>
      <c r="G63" s="135">
        <f>F63*200</f>
        <v>9220</v>
      </c>
    </row>
    <row r="65" spans="1:7" ht="15" x14ac:dyDescent="0.2">
      <c r="A65" s="224" t="s">
        <v>63</v>
      </c>
      <c r="B65" s="224"/>
      <c r="C65" s="18"/>
      <c r="D65" s="18"/>
      <c r="E65" s="18"/>
      <c r="F65" s="18"/>
      <c r="G65" s="18"/>
    </row>
    <row r="66" spans="1:7" x14ac:dyDescent="0.2">
      <c r="A66" s="12" t="s">
        <v>1</v>
      </c>
      <c r="B66" s="11" t="s">
        <v>2</v>
      </c>
      <c r="C66" s="12" t="s">
        <v>3</v>
      </c>
      <c r="D66" s="11" t="s">
        <v>4</v>
      </c>
      <c r="E66" s="225" t="s">
        <v>5</v>
      </c>
      <c r="F66" s="225"/>
      <c r="G66" s="11" t="s">
        <v>6</v>
      </c>
    </row>
    <row r="67" spans="1:7" x14ac:dyDescent="0.2">
      <c r="A67" s="85">
        <v>9232</v>
      </c>
      <c r="B67" s="86" t="s">
        <v>54</v>
      </c>
      <c r="C67" s="85" t="s">
        <v>56</v>
      </c>
      <c r="D67" s="86">
        <v>1</v>
      </c>
      <c r="E67" s="86"/>
      <c r="F67" s="87">
        <v>63.7</v>
      </c>
      <c r="G67" s="88">
        <f>D67*F67</f>
        <v>63.7</v>
      </c>
    </row>
    <row r="68" spans="1:7" x14ac:dyDescent="0.2">
      <c r="A68" s="89"/>
      <c r="B68" s="89"/>
      <c r="C68" s="89"/>
      <c r="D68" s="86">
        <v>12</v>
      </c>
      <c r="E68" s="86"/>
      <c r="F68" s="87">
        <v>58.2</v>
      </c>
      <c r="G68" s="88">
        <f>D68*F68</f>
        <v>698.40000000000009</v>
      </c>
    </row>
    <row r="69" spans="1:7" x14ac:dyDescent="0.2">
      <c r="A69" s="85"/>
      <c r="B69" s="86"/>
      <c r="C69" s="85"/>
      <c r="D69" s="86">
        <v>24</v>
      </c>
      <c r="E69" s="86"/>
      <c r="F69" s="87">
        <v>55.3</v>
      </c>
      <c r="G69" s="88">
        <f>D69*F69</f>
        <v>1327.1999999999998</v>
      </c>
    </row>
    <row r="70" spans="1:7" x14ac:dyDescent="0.2">
      <c r="A70" s="85"/>
      <c r="B70" s="86"/>
      <c r="C70" s="85"/>
      <c r="D70" s="86">
        <v>48</v>
      </c>
      <c r="E70" s="96" t="s">
        <v>23</v>
      </c>
      <c r="F70" s="87">
        <v>52.6</v>
      </c>
      <c r="G70" s="88">
        <f>D70*F70</f>
        <v>2524.8000000000002</v>
      </c>
    </row>
    <row r="71" spans="1:7" x14ac:dyDescent="0.2">
      <c r="A71" s="122">
        <v>9201</v>
      </c>
      <c r="B71" s="123" t="s">
        <v>14</v>
      </c>
      <c r="C71" s="122" t="s">
        <v>11</v>
      </c>
      <c r="D71" s="123">
        <v>1</v>
      </c>
      <c r="E71" s="123"/>
      <c r="F71" s="132">
        <v>44.1</v>
      </c>
      <c r="G71" s="125">
        <f t="shared" ref="G71:G78" si="5">D71*F71</f>
        <v>44.1</v>
      </c>
    </row>
    <row r="72" spans="1:7" x14ac:dyDescent="0.2">
      <c r="A72" s="124"/>
      <c r="B72" s="124"/>
      <c r="C72" s="124"/>
      <c r="D72" s="123">
        <v>12</v>
      </c>
      <c r="E72" s="123"/>
      <c r="F72" s="132">
        <v>40</v>
      </c>
      <c r="G72" s="125">
        <f t="shared" si="5"/>
        <v>480</v>
      </c>
    </row>
    <row r="73" spans="1:7" x14ac:dyDescent="0.2">
      <c r="A73" s="122"/>
      <c r="B73" s="123"/>
      <c r="C73" s="122"/>
      <c r="D73" s="123">
        <v>24</v>
      </c>
      <c r="E73" s="123"/>
      <c r="F73" s="132">
        <v>38.4</v>
      </c>
      <c r="G73" s="125">
        <f t="shared" si="5"/>
        <v>921.59999999999991</v>
      </c>
    </row>
    <row r="74" spans="1:7" x14ac:dyDescent="0.2">
      <c r="A74" s="122"/>
      <c r="B74" s="123"/>
      <c r="C74" s="122"/>
      <c r="D74" s="123">
        <v>48</v>
      </c>
      <c r="E74" s="123"/>
      <c r="F74" s="132">
        <v>36.200000000000003</v>
      </c>
      <c r="G74" s="125">
        <f t="shared" si="5"/>
        <v>1737.6000000000001</v>
      </c>
    </row>
    <row r="75" spans="1:7" x14ac:dyDescent="0.2">
      <c r="A75" s="85">
        <v>8377</v>
      </c>
      <c r="B75" s="86" t="s">
        <v>15</v>
      </c>
      <c r="C75" s="85" t="s">
        <v>57</v>
      </c>
      <c r="D75" s="86">
        <v>1</v>
      </c>
      <c r="E75" s="86"/>
      <c r="F75" s="87">
        <v>147.19999999999999</v>
      </c>
      <c r="G75" s="88">
        <f t="shared" si="5"/>
        <v>147.19999999999999</v>
      </c>
    </row>
    <row r="76" spans="1:7" x14ac:dyDescent="0.2">
      <c r="A76" s="89"/>
      <c r="B76" s="89"/>
      <c r="C76" s="89"/>
      <c r="D76" s="86">
        <v>6</v>
      </c>
      <c r="E76" s="86"/>
      <c r="F76" s="87">
        <v>137.30000000000001</v>
      </c>
      <c r="G76" s="88">
        <f t="shared" si="5"/>
        <v>823.80000000000007</v>
      </c>
    </row>
    <row r="77" spans="1:7" x14ac:dyDescent="0.2">
      <c r="A77" s="85"/>
      <c r="B77" s="86"/>
      <c r="C77" s="85"/>
      <c r="D77" s="86">
        <v>12</v>
      </c>
      <c r="E77" s="96" t="s">
        <v>23</v>
      </c>
      <c r="F77" s="87">
        <v>130.69999999999999</v>
      </c>
      <c r="G77" s="88">
        <f t="shared" si="5"/>
        <v>1568.3999999999999</v>
      </c>
    </row>
    <row r="78" spans="1:7" x14ac:dyDescent="0.2">
      <c r="A78" s="85"/>
      <c r="B78" s="86"/>
      <c r="C78" s="85"/>
      <c r="D78" s="86">
        <v>24</v>
      </c>
      <c r="E78" s="96" t="s">
        <v>23</v>
      </c>
      <c r="F78" s="87">
        <v>124.1</v>
      </c>
      <c r="G78" s="88">
        <f t="shared" si="5"/>
        <v>2978.3999999999996</v>
      </c>
    </row>
    <row r="79" spans="1:7" x14ac:dyDescent="0.2">
      <c r="A79" s="122">
        <v>8664</v>
      </c>
      <c r="B79" s="123" t="s">
        <v>58</v>
      </c>
      <c r="C79" s="122" t="s">
        <v>59</v>
      </c>
      <c r="D79" s="123">
        <v>1</v>
      </c>
      <c r="E79" s="123"/>
      <c r="F79" s="132">
        <v>120.7</v>
      </c>
      <c r="G79" s="125">
        <f>F79*13</f>
        <v>1569.1000000000001</v>
      </c>
    </row>
    <row r="80" spans="1:7" x14ac:dyDescent="0.2">
      <c r="A80" s="85">
        <v>8379</v>
      </c>
      <c r="B80" s="86" t="s">
        <v>37</v>
      </c>
      <c r="C80" s="85" t="s">
        <v>26</v>
      </c>
      <c r="D80" s="89">
        <v>1</v>
      </c>
      <c r="E80" s="96" t="s">
        <v>23</v>
      </c>
      <c r="F80" s="87">
        <v>117.7</v>
      </c>
      <c r="G80" s="90">
        <f>F80*30</f>
        <v>3531</v>
      </c>
    </row>
    <row r="81" spans="1:7" x14ac:dyDescent="0.2">
      <c r="A81" s="122">
        <v>8540</v>
      </c>
      <c r="B81" s="123" t="s">
        <v>38</v>
      </c>
      <c r="C81" s="122" t="s">
        <v>26</v>
      </c>
      <c r="D81" s="123">
        <v>1</v>
      </c>
      <c r="E81" s="128" t="s">
        <v>23</v>
      </c>
      <c r="F81" s="132">
        <v>115.1</v>
      </c>
      <c r="G81" s="125">
        <f>F81*60</f>
        <v>6906</v>
      </c>
    </row>
    <row r="82" spans="1:7" x14ac:dyDescent="0.2">
      <c r="A82" s="85">
        <v>8654</v>
      </c>
      <c r="B82" s="86" t="s">
        <v>25</v>
      </c>
      <c r="C82" s="85" t="s">
        <v>26</v>
      </c>
      <c r="D82" s="86">
        <v>1</v>
      </c>
      <c r="E82" s="96" t="s">
        <v>23</v>
      </c>
      <c r="F82" s="87">
        <v>102.8</v>
      </c>
      <c r="G82" s="88">
        <f>F82*200</f>
        <v>20560</v>
      </c>
    </row>
    <row r="83" spans="1:7" x14ac:dyDescent="0.2">
      <c r="A83" s="31"/>
      <c r="B83" s="32"/>
      <c r="C83" s="39"/>
      <c r="D83" s="32"/>
      <c r="E83" s="32"/>
      <c r="F83" s="33"/>
      <c r="G83" s="30"/>
    </row>
    <row r="84" spans="1:7" ht="15" x14ac:dyDescent="0.2">
      <c r="A84" s="153" t="s">
        <v>64</v>
      </c>
      <c r="B84" s="153"/>
      <c r="C84" s="18"/>
      <c r="D84" s="18"/>
      <c r="E84" s="18"/>
      <c r="F84" s="18"/>
      <c r="G84" s="18"/>
    </row>
    <row r="85" spans="1:7" x14ac:dyDescent="0.2">
      <c r="A85" s="12" t="s">
        <v>1</v>
      </c>
      <c r="B85" s="11" t="s">
        <v>2</v>
      </c>
      <c r="C85" s="12" t="s">
        <v>3</v>
      </c>
      <c r="D85" s="11" t="s">
        <v>4</v>
      </c>
      <c r="E85" s="11" t="s">
        <v>5</v>
      </c>
      <c r="F85" s="11"/>
      <c r="G85" s="11" t="s">
        <v>6</v>
      </c>
    </row>
    <row r="86" spans="1:7" x14ac:dyDescent="0.2">
      <c r="A86" s="85">
        <v>9253</v>
      </c>
      <c r="B86" s="86" t="s">
        <v>12</v>
      </c>
      <c r="C86" s="85" t="s">
        <v>11</v>
      </c>
      <c r="D86" s="86">
        <v>1</v>
      </c>
      <c r="E86" s="86"/>
      <c r="F86" s="87">
        <v>40.1</v>
      </c>
      <c r="G86" s="88">
        <f t="shared" ref="G86:G100" si="6">D86*F86</f>
        <v>40.1</v>
      </c>
    </row>
    <row r="87" spans="1:7" x14ac:dyDescent="0.2">
      <c r="A87" s="89"/>
      <c r="B87" s="89"/>
      <c r="C87" s="89"/>
      <c r="D87" s="86">
        <v>12</v>
      </c>
      <c r="E87" s="86"/>
      <c r="F87" s="87">
        <v>36.4</v>
      </c>
      <c r="G87" s="88">
        <f t="shared" si="6"/>
        <v>436.79999999999995</v>
      </c>
    </row>
    <row r="88" spans="1:7" x14ac:dyDescent="0.2">
      <c r="A88" s="85"/>
      <c r="B88" s="86"/>
      <c r="C88" s="85"/>
      <c r="D88" s="86">
        <v>24</v>
      </c>
      <c r="E88" s="96" t="s">
        <v>23</v>
      </c>
      <c r="F88" s="87">
        <v>34.799999999999997</v>
      </c>
      <c r="G88" s="88">
        <f t="shared" si="6"/>
        <v>835.19999999999993</v>
      </c>
    </row>
    <row r="89" spans="1:7" x14ac:dyDescent="0.2">
      <c r="A89" s="85"/>
      <c r="B89" s="86"/>
      <c r="C89" s="85"/>
      <c r="D89" s="86">
        <v>48</v>
      </c>
      <c r="E89" s="96" t="s">
        <v>23</v>
      </c>
      <c r="F89" s="87">
        <v>33</v>
      </c>
      <c r="G89" s="88">
        <f t="shared" si="6"/>
        <v>1584</v>
      </c>
    </row>
    <row r="90" spans="1:7" x14ac:dyDescent="0.2">
      <c r="A90" s="122">
        <v>8163</v>
      </c>
      <c r="B90" s="123" t="s">
        <v>54</v>
      </c>
      <c r="C90" s="122" t="s">
        <v>55</v>
      </c>
      <c r="D90" s="123">
        <v>1</v>
      </c>
      <c r="E90" s="123"/>
      <c r="F90" s="132">
        <v>123.5</v>
      </c>
      <c r="G90" s="125">
        <f t="shared" si="6"/>
        <v>123.5</v>
      </c>
    </row>
    <row r="91" spans="1:7" x14ac:dyDescent="0.2">
      <c r="A91" s="124"/>
      <c r="B91" s="124"/>
      <c r="C91" s="124"/>
      <c r="D91" s="123">
        <v>12</v>
      </c>
      <c r="E91" s="123"/>
      <c r="F91" s="132">
        <v>117.4</v>
      </c>
      <c r="G91" s="125">
        <f t="shared" si="6"/>
        <v>1408.8000000000002</v>
      </c>
    </row>
    <row r="92" spans="1:7" x14ac:dyDescent="0.2">
      <c r="A92" s="136"/>
      <c r="B92" s="137"/>
      <c r="C92" s="136"/>
      <c r="D92" s="123">
        <v>24</v>
      </c>
      <c r="E92" s="123"/>
      <c r="F92" s="132">
        <v>111.6</v>
      </c>
      <c r="G92" s="125">
        <f t="shared" si="6"/>
        <v>2678.3999999999996</v>
      </c>
    </row>
    <row r="93" spans="1:7" x14ac:dyDescent="0.2">
      <c r="A93" s="136"/>
      <c r="B93" s="137"/>
      <c r="C93" s="136"/>
      <c r="D93" s="123">
        <v>48</v>
      </c>
      <c r="E93" s="123"/>
      <c r="F93" s="132">
        <v>106.2</v>
      </c>
      <c r="G93" s="125">
        <f t="shared" si="6"/>
        <v>5097.6000000000004</v>
      </c>
    </row>
    <row r="94" spans="1:7" x14ac:dyDescent="0.2">
      <c r="A94" s="85">
        <v>6707</v>
      </c>
      <c r="B94" s="86" t="s">
        <v>54</v>
      </c>
      <c r="C94" s="85" t="s">
        <v>56</v>
      </c>
      <c r="D94" s="86">
        <v>1</v>
      </c>
      <c r="E94" s="86"/>
      <c r="F94" s="87">
        <v>123.5</v>
      </c>
      <c r="G94" s="88">
        <f t="shared" si="6"/>
        <v>123.5</v>
      </c>
    </row>
    <row r="95" spans="1:7" x14ac:dyDescent="0.2">
      <c r="A95" s="89"/>
      <c r="B95" s="89"/>
      <c r="C95" s="89"/>
      <c r="D95" s="86">
        <v>12</v>
      </c>
      <c r="E95" s="96"/>
      <c r="F95" s="87">
        <v>117.4</v>
      </c>
      <c r="G95" s="88">
        <f t="shared" si="6"/>
        <v>1408.8000000000002</v>
      </c>
    </row>
    <row r="96" spans="1:7" x14ac:dyDescent="0.2">
      <c r="A96" s="85"/>
      <c r="B96" s="86"/>
      <c r="C96" s="85"/>
      <c r="D96" s="86">
        <v>24</v>
      </c>
      <c r="E96" s="96"/>
      <c r="F96" s="87">
        <v>111.6</v>
      </c>
      <c r="G96" s="88">
        <f t="shared" si="6"/>
        <v>2678.3999999999996</v>
      </c>
    </row>
    <row r="97" spans="1:7" x14ac:dyDescent="0.2">
      <c r="A97" s="85"/>
      <c r="B97" s="86"/>
      <c r="C97" s="85"/>
      <c r="D97" s="86">
        <v>48</v>
      </c>
      <c r="E97" s="96" t="s">
        <v>23</v>
      </c>
      <c r="F97" s="87">
        <v>106.2</v>
      </c>
      <c r="G97" s="88">
        <f t="shared" si="6"/>
        <v>5097.6000000000004</v>
      </c>
    </row>
    <row r="98" spans="1:7" x14ac:dyDescent="0.2">
      <c r="A98" s="122">
        <v>8387</v>
      </c>
      <c r="B98" s="123" t="s">
        <v>15</v>
      </c>
      <c r="C98" s="122" t="s">
        <v>57</v>
      </c>
      <c r="D98" s="123">
        <v>6</v>
      </c>
      <c r="E98" s="128" t="s">
        <v>23</v>
      </c>
      <c r="F98" s="132">
        <v>251.8</v>
      </c>
      <c r="G98" s="125">
        <f t="shared" si="6"/>
        <v>1510.8000000000002</v>
      </c>
    </row>
    <row r="99" spans="1:7" x14ac:dyDescent="0.2">
      <c r="A99" s="124"/>
      <c r="B99" s="124"/>
      <c r="C99" s="124"/>
      <c r="D99" s="123">
        <v>12</v>
      </c>
      <c r="E99" s="128" t="s">
        <v>23</v>
      </c>
      <c r="F99" s="132">
        <v>239.8</v>
      </c>
      <c r="G99" s="125">
        <f t="shared" si="6"/>
        <v>2877.6000000000004</v>
      </c>
    </row>
    <row r="100" spans="1:7" x14ac:dyDescent="0.2">
      <c r="A100" s="122"/>
      <c r="B100" s="123"/>
      <c r="C100" s="122"/>
      <c r="D100" s="123">
        <v>24</v>
      </c>
      <c r="E100" s="128" t="s">
        <v>23</v>
      </c>
      <c r="F100" s="132">
        <v>227.9</v>
      </c>
      <c r="G100" s="125">
        <f t="shared" si="6"/>
        <v>5469.6</v>
      </c>
    </row>
    <row r="101" spans="1:7" x14ac:dyDescent="0.2">
      <c r="A101" s="85">
        <v>8665</v>
      </c>
      <c r="B101" s="86" t="s">
        <v>58</v>
      </c>
      <c r="C101" s="85" t="s">
        <v>59</v>
      </c>
      <c r="D101" s="86">
        <v>1</v>
      </c>
      <c r="E101" s="86"/>
      <c r="F101" s="87">
        <v>224.3</v>
      </c>
      <c r="G101" s="88">
        <f>F101*13</f>
        <v>2915.9</v>
      </c>
    </row>
    <row r="102" spans="1:7" x14ac:dyDescent="0.2">
      <c r="A102" s="122">
        <v>8388</v>
      </c>
      <c r="B102" s="123" t="s">
        <v>37</v>
      </c>
      <c r="C102" s="122" t="s">
        <v>26</v>
      </c>
      <c r="D102" s="124">
        <v>1</v>
      </c>
      <c r="E102" s="128"/>
      <c r="F102" s="132">
        <v>218.3</v>
      </c>
      <c r="G102" s="135">
        <f>F102*30</f>
        <v>6549</v>
      </c>
    </row>
    <row r="103" spans="1:7" x14ac:dyDescent="0.2">
      <c r="A103" s="85">
        <v>8389</v>
      </c>
      <c r="B103" s="86" t="s">
        <v>38</v>
      </c>
      <c r="C103" s="85" t="s">
        <v>26</v>
      </c>
      <c r="D103" s="86">
        <v>1</v>
      </c>
      <c r="E103" s="96" t="s">
        <v>23</v>
      </c>
      <c r="F103" s="87">
        <v>207.1</v>
      </c>
      <c r="G103" s="88">
        <f>F103*60</f>
        <v>12426</v>
      </c>
    </row>
    <row r="104" spans="1:7" x14ac:dyDescent="0.2">
      <c r="A104" s="122">
        <v>8703</v>
      </c>
      <c r="B104" s="123" t="s">
        <v>25</v>
      </c>
      <c r="C104" s="122" t="s">
        <v>26</v>
      </c>
      <c r="D104" s="123">
        <v>1</v>
      </c>
      <c r="E104" s="128" t="s">
        <v>23</v>
      </c>
      <c r="F104" s="132">
        <v>198.3</v>
      </c>
      <c r="G104" s="125">
        <f>F104*200</f>
        <v>39660</v>
      </c>
    </row>
    <row r="105" spans="1:7" x14ac:dyDescent="0.2">
      <c r="A105" s="3"/>
      <c r="D105" s="2"/>
      <c r="E105" s="2"/>
      <c r="F105" s="6"/>
      <c r="G105" s="4"/>
    </row>
    <row r="106" spans="1:7" ht="15" x14ac:dyDescent="0.2">
      <c r="A106" s="224" t="s">
        <v>65</v>
      </c>
      <c r="B106" s="224"/>
      <c r="C106" s="18"/>
      <c r="D106" s="18"/>
      <c r="E106" s="18"/>
      <c r="F106" s="18"/>
      <c r="G106" s="18"/>
    </row>
    <row r="107" spans="1:7" x14ac:dyDescent="0.2">
      <c r="A107" s="12" t="s">
        <v>1</v>
      </c>
      <c r="B107" s="11" t="s">
        <v>2</v>
      </c>
      <c r="C107" s="12" t="s">
        <v>3</v>
      </c>
      <c r="D107" s="11" t="s">
        <v>4</v>
      </c>
      <c r="E107" s="225" t="s">
        <v>5</v>
      </c>
      <c r="F107" s="225"/>
      <c r="G107" s="11" t="s">
        <v>6</v>
      </c>
    </row>
    <row r="108" spans="1:7" x14ac:dyDescent="0.2">
      <c r="A108" s="85">
        <v>9234</v>
      </c>
      <c r="B108" s="86" t="s">
        <v>54</v>
      </c>
      <c r="C108" s="85" t="s">
        <v>55</v>
      </c>
      <c r="D108" s="86">
        <v>1</v>
      </c>
      <c r="E108" s="96" t="s">
        <v>23</v>
      </c>
      <c r="F108" s="87">
        <v>123.3</v>
      </c>
      <c r="G108" s="88">
        <f t="shared" ref="G108:G118" si="7">D108*F108</f>
        <v>123.3</v>
      </c>
    </row>
    <row r="109" spans="1:7" x14ac:dyDescent="0.2">
      <c r="A109" s="89"/>
      <c r="B109" s="89"/>
      <c r="C109" s="89"/>
      <c r="D109" s="86">
        <v>12</v>
      </c>
      <c r="E109" s="96" t="s">
        <v>23</v>
      </c>
      <c r="F109" s="87">
        <v>112.6</v>
      </c>
      <c r="G109" s="88">
        <f t="shared" si="7"/>
        <v>1351.1999999999998</v>
      </c>
    </row>
    <row r="110" spans="1:7" x14ac:dyDescent="0.2">
      <c r="A110" s="85"/>
      <c r="B110" s="86"/>
      <c r="C110" s="85"/>
      <c r="D110" s="86">
        <v>24</v>
      </c>
      <c r="E110" s="96" t="s">
        <v>23</v>
      </c>
      <c r="F110" s="87">
        <v>107.3</v>
      </c>
      <c r="G110" s="88">
        <f t="shared" si="7"/>
        <v>2575.1999999999998</v>
      </c>
    </row>
    <row r="111" spans="1:7" x14ac:dyDescent="0.2">
      <c r="A111" s="85"/>
      <c r="B111" s="86"/>
      <c r="C111" s="85"/>
      <c r="D111" s="86">
        <v>48</v>
      </c>
      <c r="E111" s="96" t="s">
        <v>23</v>
      </c>
      <c r="F111" s="87">
        <v>101.9</v>
      </c>
      <c r="G111" s="88">
        <f t="shared" si="7"/>
        <v>4891.2000000000007</v>
      </c>
    </row>
    <row r="112" spans="1:7" x14ac:dyDescent="0.2">
      <c r="A112" s="122">
        <v>6741</v>
      </c>
      <c r="B112" s="123" t="s">
        <v>54</v>
      </c>
      <c r="C112" s="122" t="s">
        <v>56</v>
      </c>
      <c r="D112" s="123">
        <v>1</v>
      </c>
      <c r="E112" s="123"/>
      <c r="F112" s="132">
        <v>123.5</v>
      </c>
      <c r="G112" s="125">
        <f t="shared" si="7"/>
        <v>123.5</v>
      </c>
    </row>
    <row r="113" spans="1:7" x14ac:dyDescent="0.2">
      <c r="A113" s="124"/>
      <c r="B113" s="124"/>
      <c r="C113" s="124"/>
      <c r="D113" s="123">
        <v>12</v>
      </c>
      <c r="E113" s="128" t="s">
        <v>23</v>
      </c>
      <c r="F113" s="132">
        <v>112.6</v>
      </c>
      <c r="G113" s="125">
        <f t="shared" si="7"/>
        <v>1351.1999999999998</v>
      </c>
    </row>
    <row r="114" spans="1:7" x14ac:dyDescent="0.2">
      <c r="A114" s="122"/>
      <c r="B114" s="123"/>
      <c r="C114" s="122"/>
      <c r="D114" s="123">
        <v>24</v>
      </c>
      <c r="E114" s="128" t="s">
        <v>23</v>
      </c>
      <c r="F114" s="132">
        <v>107.2</v>
      </c>
      <c r="G114" s="125">
        <f t="shared" si="7"/>
        <v>2572.8000000000002</v>
      </c>
    </row>
    <row r="115" spans="1:7" x14ac:dyDescent="0.2">
      <c r="A115" s="122"/>
      <c r="B115" s="123"/>
      <c r="C115" s="122"/>
      <c r="D115" s="123">
        <v>48</v>
      </c>
      <c r="E115" s="128" t="s">
        <v>23</v>
      </c>
      <c r="F115" s="132">
        <v>101.9</v>
      </c>
      <c r="G115" s="125">
        <f t="shared" si="7"/>
        <v>4891.2000000000007</v>
      </c>
    </row>
    <row r="116" spans="1:7" x14ac:dyDescent="0.2">
      <c r="A116" s="85">
        <v>9237</v>
      </c>
      <c r="B116" s="86" t="s">
        <v>15</v>
      </c>
      <c r="C116" s="85" t="s">
        <v>57</v>
      </c>
      <c r="D116" s="86">
        <v>6</v>
      </c>
      <c r="E116" s="96" t="s">
        <v>23</v>
      </c>
      <c r="F116" s="87">
        <v>266.10000000000002</v>
      </c>
      <c r="G116" s="88">
        <f t="shared" si="7"/>
        <v>1596.6000000000001</v>
      </c>
    </row>
    <row r="117" spans="1:7" x14ac:dyDescent="0.2">
      <c r="A117" s="89"/>
      <c r="B117" s="89"/>
      <c r="C117" s="89"/>
      <c r="D117" s="86">
        <v>12</v>
      </c>
      <c r="E117" s="96" t="s">
        <v>23</v>
      </c>
      <c r="F117" s="87">
        <v>253.4</v>
      </c>
      <c r="G117" s="88">
        <f t="shared" si="7"/>
        <v>3040.8</v>
      </c>
    </row>
    <row r="118" spans="1:7" x14ac:dyDescent="0.2">
      <c r="A118" s="85"/>
      <c r="B118" s="86"/>
      <c r="C118" s="85"/>
      <c r="D118" s="86">
        <v>24</v>
      </c>
      <c r="E118" s="96" t="s">
        <v>23</v>
      </c>
      <c r="F118" s="87">
        <v>240.7</v>
      </c>
      <c r="G118" s="88">
        <f t="shared" si="7"/>
        <v>5776.7999999999993</v>
      </c>
    </row>
    <row r="119" spans="1:7" x14ac:dyDescent="0.2">
      <c r="A119" s="122">
        <v>9239</v>
      </c>
      <c r="B119" s="123" t="s">
        <v>58</v>
      </c>
      <c r="C119" s="122" t="s">
        <v>59</v>
      </c>
      <c r="D119" s="123">
        <v>1</v>
      </c>
      <c r="E119" s="128" t="s">
        <v>23</v>
      </c>
      <c r="F119" s="132">
        <v>246.1</v>
      </c>
      <c r="G119" s="125">
        <f>F119*13</f>
        <v>3199.2999999999997</v>
      </c>
    </row>
    <row r="120" spans="1:7" x14ac:dyDescent="0.2">
      <c r="A120" s="85">
        <v>9241</v>
      </c>
      <c r="B120" s="86" t="s">
        <v>37</v>
      </c>
      <c r="C120" s="85" t="s">
        <v>26</v>
      </c>
      <c r="D120" s="89">
        <v>1</v>
      </c>
      <c r="E120" s="96" t="s">
        <v>23</v>
      </c>
      <c r="F120" s="87">
        <v>243.3</v>
      </c>
      <c r="G120" s="90">
        <f>F120*30</f>
        <v>7299</v>
      </c>
    </row>
    <row r="121" spans="1:7" x14ac:dyDescent="0.2">
      <c r="A121" s="122">
        <v>9242</v>
      </c>
      <c r="B121" s="123" t="s">
        <v>38</v>
      </c>
      <c r="C121" s="122" t="s">
        <v>26</v>
      </c>
      <c r="D121" s="123">
        <v>1</v>
      </c>
      <c r="E121" s="128" t="s">
        <v>23</v>
      </c>
      <c r="F121" s="132">
        <v>239.5</v>
      </c>
      <c r="G121" s="125">
        <f>F121*60</f>
        <v>14370</v>
      </c>
    </row>
    <row r="122" spans="1:7" x14ac:dyDescent="0.2">
      <c r="A122" s="85">
        <v>9243</v>
      </c>
      <c r="B122" s="86" t="s">
        <v>25</v>
      </c>
      <c r="C122" s="85" t="s">
        <v>26</v>
      </c>
      <c r="D122" s="86">
        <v>1</v>
      </c>
      <c r="E122" s="96" t="s">
        <v>23</v>
      </c>
      <c r="F122" s="87">
        <v>236.1</v>
      </c>
      <c r="G122" s="88">
        <f>F122*200</f>
        <v>47220</v>
      </c>
    </row>
    <row r="123" spans="1:7" ht="12.75" customHeight="1" x14ac:dyDescent="0.2">
      <c r="A123" s="226"/>
      <c r="B123" s="226"/>
      <c r="C123" s="226"/>
      <c r="D123" s="226"/>
      <c r="E123" s="226"/>
      <c r="F123" s="226"/>
      <c r="G123" s="226"/>
    </row>
    <row r="124" spans="1:7" ht="15" x14ac:dyDescent="0.2">
      <c r="A124" s="224" t="s">
        <v>66</v>
      </c>
      <c r="B124" s="224"/>
      <c r="C124" s="18"/>
      <c r="D124" s="18"/>
      <c r="E124" s="18"/>
      <c r="F124" s="18"/>
      <c r="G124" s="18"/>
    </row>
    <row r="125" spans="1:7" x14ac:dyDescent="0.2">
      <c r="A125" s="12" t="s">
        <v>1</v>
      </c>
      <c r="B125" s="11" t="s">
        <v>2</v>
      </c>
      <c r="C125" s="12" t="s">
        <v>3</v>
      </c>
      <c r="D125" s="11" t="s">
        <v>4</v>
      </c>
      <c r="E125" s="225" t="s">
        <v>5</v>
      </c>
      <c r="F125" s="225"/>
      <c r="G125" s="11" t="s">
        <v>6</v>
      </c>
    </row>
    <row r="126" spans="1:7" x14ac:dyDescent="0.2">
      <c r="A126" s="85">
        <v>8545</v>
      </c>
      <c r="B126" s="86" t="s">
        <v>54</v>
      </c>
      <c r="C126" s="85" t="s">
        <v>55</v>
      </c>
      <c r="D126" s="86">
        <v>1</v>
      </c>
      <c r="E126" s="86"/>
      <c r="F126" s="87">
        <v>33.700000000000003</v>
      </c>
      <c r="G126" s="88">
        <f t="shared" ref="G126:G137" si="8">D126*F126</f>
        <v>33.700000000000003</v>
      </c>
    </row>
    <row r="127" spans="1:7" x14ac:dyDescent="0.2">
      <c r="A127" s="89"/>
      <c r="B127" s="89"/>
      <c r="C127" s="89"/>
      <c r="D127" s="86">
        <v>12</v>
      </c>
      <c r="E127" s="86"/>
      <c r="F127" s="87">
        <v>32</v>
      </c>
      <c r="G127" s="88">
        <f t="shared" si="8"/>
        <v>384</v>
      </c>
    </row>
    <row r="128" spans="1:7" x14ac:dyDescent="0.2">
      <c r="A128" s="94"/>
      <c r="B128" s="95"/>
      <c r="C128" s="94"/>
      <c r="D128" s="86">
        <v>24</v>
      </c>
      <c r="E128" s="86"/>
      <c r="F128" s="87">
        <v>30.4</v>
      </c>
      <c r="G128" s="88">
        <f t="shared" si="8"/>
        <v>729.59999999999991</v>
      </c>
    </row>
    <row r="129" spans="1:7" x14ac:dyDescent="0.2">
      <c r="A129" s="94"/>
      <c r="B129" s="95"/>
      <c r="C129" s="94"/>
      <c r="D129" s="86">
        <v>48</v>
      </c>
      <c r="E129" s="86"/>
      <c r="F129" s="87">
        <v>29.1</v>
      </c>
      <c r="G129" s="88">
        <f t="shared" si="8"/>
        <v>1396.8000000000002</v>
      </c>
    </row>
    <row r="130" spans="1:7" x14ac:dyDescent="0.2">
      <c r="A130" s="122">
        <v>9097</v>
      </c>
      <c r="B130" s="123" t="s">
        <v>54</v>
      </c>
      <c r="C130" s="122" t="s">
        <v>56</v>
      </c>
      <c r="D130" s="123">
        <v>1</v>
      </c>
      <c r="E130" s="123"/>
      <c r="F130" s="132">
        <v>33.700000000000003</v>
      </c>
      <c r="G130" s="125">
        <f t="shared" si="8"/>
        <v>33.700000000000003</v>
      </c>
    </row>
    <row r="131" spans="1:7" x14ac:dyDescent="0.2">
      <c r="A131" s="124"/>
      <c r="B131" s="124"/>
      <c r="C131" s="124"/>
      <c r="D131" s="123">
        <v>12</v>
      </c>
      <c r="E131" s="123"/>
      <c r="F131" s="132">
        <v>32</v>
      </c>
      <c r="G131" s="125">
        <f t="shared" si="8"/>
        <v>384</v>
      </c>
    </row>
    <row r="132" spans="1:7" x14ac:dyDescent="0.2">
      <c r="A132" s="122"/>
      <c r="B132" s="123"/>
      <c r="C132" s="122"/>
      <c r="D132" s="123">
        <v>24</v>
      </c>
      <c r="E132" s="123"/>
      <c r="F132" s="132">
        <v>30.4</v>
      </c>
      <c r="G132" s="125">
        <f t="shared" si="8"/>
        <v>729.59999999999991</v>
      </c>
    </row>
    <row r="133" spans="1:7" x14ac:dyDescent="0.2">
      <c r="A133" s="122"/>
      <c r="B133" s="123"/>
      <c r="C133" s="122"/>
      <c r="D133" s="123">
        <v>48</v>
      </c>
      <c r="E133" s="123"/>
      <c r="F133" s="132">
        <v>29.1</v>
      </c>
      <c r="G133" s="125">
        <f t="shared" si="8"/>
        <v>1396.8000000000002</v>
      </c>
    </row>
    <row r="134" spans="1:7" x14ac:dyDescent="0.2">
      <c r="A134" s="85">
        <v>8390</v>
      </c>
      <c r="B134" s="86" t="s">
        <v>15</v>
      </c>
      <c r="C134" s="85" t="s">
        <v>57</v>
      </c>
      <c r="D134" s="86">
        <v>1</v>
      </c>
      <c r="E134" s="86"/>
      <c r="F134" s="87">
        <v>67.599999999999994</v>
      </c>
      <c r="G134" s="88">
        <f t="shared" si="8"/>
        <v>67.599999999999994</v>
      </c>
    </row>
    <row r="135" spans="1:7" x14ac:dyDescent="0.2">
      <c r="A135" s="89"/>
      <c r="B135" s="89"/>
      <c r="C135" s="89"/>
      <c r="D135" s="86">
        <v>6</v>
      </c>
      <c r="E135" s="86"/>
      <c r="F135" s="87">
        <v>61.3</v>
      </c>
      <c r="G135" s="88">
        <f t="shared" si="8"/>
        <v>367.79999999999995</v>
      </c>
    </row>
    <row r="136" spans="1:7" x14ac:dyDescent="0.2">
      <c r="A136" s="85"/>
      <c r="B136" s="86"/>
      <c r="C136" s="85"/>
      <c r="D136" s="86">
        <v>12</v>
      </c>
      <c r="E136" s="86"/>
      <c r="F136" s="87">
        <v>58.5</v>
      </c>
      <c r="G136" s="88">
        <f t="shared" si="8"/>
        <v>702</v>
      </c>
    </row>
    <row r="137" spans="1:7" x14ac:dyDescent="0.2">
      <c r="A137" s="85"/>
      <c r="B137" s="86"/>
      <c r="C137" s="85"/>
      <c r="D137" s="86">
        <v>24</v>
      </c>
      <c r="E137" s="86"/>
      <c r="F137" s="87">
        <v>55.6</v>
      </c>
      <c r="G137" s="88">
        <f t="shared" si="8"/>
        <v>1334.4</v>
      </c>
    </row>
    <row r="138" spans="1:7" x14ac:dyDescent="0.2">
      <c r="A138" s="122">
        <v>8555</v>
      </c>
      <c r="B138" s="123" t="s">
        <v>58</v>
      </c>
      <c r="C138" s="122" t="s">
        <v>59</v>
      </c>
      <c r="D138" s="123">
        <v>1</v>
      </c>
      <c r="E138" s="123"/>
      <c r="F138" s="132">
        <v>49.9</v>
      </c>
      <c r="G138" s="125">
        <f>F138*13</f>
        <v>648.69999999999993</v>
      </c>
    </row>
    <row r="139" spans="1:7" x14ac:dyDescent="0.2">
      <c r="A139" s="85">
        <v>8270</v>
      </c>
      <c r="B139" s="86" t="s">
        <v>37</v>
      </c>
      <c r="C139" s="85" t="s">
        <v>26</v>
      </c>
      <c r="D139" s="89">
        <v>1</v>
      </c>
      <c r="E139" s="89"/>
      <c r="F139" s="87">
        <v>46.7</v>
      </c>
      <c r="G139" s="90">
        <f>F139*30</f>
        <v>1401</v>
      </c>
    </row>
    <row r="140" spans="1:7" x14ac:dyDescent="0.2">
      <c r="A140" s="122">
        <v>8341</v>
      </c>
      <c r="B140" s="123" t="s">
        <v>38</v>
      </c>
      <c r="C140" s="122" t="s">
        <v>26</v>
      </c>
      <c r="D140" s="123">
        <v>1</v>
      </c>
      <c r="E140" s="123"/>
      <c r="F140" s="132">
        <v>43.4</v>
      </c>
      <c r="G140" s="125">
        <f>F140*60</f>
        <v>2604</v>
      </c>
    </row>
    <row r="141" spans="1:7" x14ac:dyDescent="0.2">
      <c r="A141" s="85">
        <v>8649</v>
      </c>
      <c r="B141" s="86" t="s">
        <v>25</v>
      </c>
      <c r="C141" s="85" t="s">
        <v>26</v>
      </c>
      <c r="D141" s="86">
        <v>1</v>
      </c>
      <c r="E141" s="86"/>
      <c r="F141" s="87">
        <v>39.700000000000003</v>
      </c>
      <c r="G141" s="88">
        <f>F141*200</f>
        <v>7940.0000000000009</v>
      </c>
    </row>
    <row r="143" spans="1:7" ht="15" x14ac:dyDescent="0.2">
      <c r="A143" s="153" t="s">
        <v>67</v>
      </c>
      <c r="B143" s="153"/>
      <c r="C143" s="18"/>
      <c r="D143" s="18"/>
      <c r="E143" s="18"/>
      <c r="F143" s="18"/>
      <c r="G143" s="18"/>
    </row>
    <row r="144" spans="1:7" x14ac:dyDescent="0.2">
      <c r="A144" s="12" t="s">
        <v>1</v>
      </c>
      <c r="B144" s="11" t="s">
        <v>2</v>
      </c>
      <c r="C144" s="12" t="s">
        <v>3</v>
      </c>
      <c r="D144" s="11" t="s">
        <v>4</v>
      </c>
      <c r="E144" s="225" t="s">
        <v>5</v>
      </c>
      <c r="F144" s="225"/>
      <c r="G144" s="11" t="s">
        <v>6</v>
      </c>
    </row>
    <row r="145" spans="1:7" x14ac:dyDescent="0.2">
      <c r="A145" s="85">
        <v>8894</v>
      </c>
      <c r="B145" s="86" t="s">
        <v>54</v>
      </c>
      <c r="C145" s="85" t="s">
        <v>55</v>
      </c>
      <c r="D145" s="86">
        <v>1</v>
      </c>
      <c r="E145" s="86"/>
      <c r="F145" s="87">
        <v>36</v>
      </c>
      <c r="G145" s="88">
        <f t="shared" ref="G145:G156" si="9">D145*F145</f>
        <v>36</v>
      </c>
    </row>
    <row r="146" spans="1:7" x14ac:dyDescent="0.2">
      <c r="A146" s="85"/>
      <c r="B146" s="86"/>
      <c r="C146" s="85"/>
      <c r="D146" s="86">
        <v>12</v>
      </c>
      <c r="E146" s="86"/>
      <c r="F146" s="87">
        <v>34.5</v>
      </c>
      <c r="G146" s="88">
        <f t="shared" si="9"/>
        <v>414</v>
      </c>
    </row>
    <row r="147" spans="1:7" x14ac:dyDescent="0.2">
      <c r="A147" s="85"/>
      <c r="B147" s="86"/>
      <c r="C147" s="85"/>
      <c r="D147" s="86">
        <v>24</v>
      </c>
      <c r="E147" s="86"/>
      <c r="F147" s="87">
        <v>32.6</v>
      </c>
      <c r="G147" s="88">
        <f t="shared" si="9"/>
        <v>782.40000000000009</v>
      </c>
    </row>
    <row r="148" spans="1:7" x14ac:dyDescent="0.2">
      <c r="A148" s="85"/>
      <c r="B148" s="86"/>
      <c r="C148" s="85"/>
      <c r="D148" s="86">
        <v>48</v>
      </c>
      <c r="E148" s="86"/>
      <c r="F148" s="87">
        <v>31</v>
      </c>
      <c r="G148" s="88">
        <f t="shared" si="9"/>
        <v>1488</v>
      </c>
    </row>
    <row r="149" spans="1:7" x14ac:dyDescent="0.2">
      <c r="A149" s="122">
        <v>6701</v>
      </c>
      <c r="B149" s="123" t="s">
        <v>54</v>
      </c>
      <c r="C149" s="122" t="s">
        <v>56</v>
      </c>
      <c r="D149" s="123">
        <v>1</v>
      </c>
      <c r="E149" s="123"/>
      <c r="F149" s="132">
        <v>36</v>
      </c>
      <c r="G149" s="125">
        <f t="shared" si="9"/>
        <v>36</v>
      </c>
    </row>
    <row r="150" spans="1:7" x14ac:dyDescent="0.2">
      <c r="A150" s="122"/>
      <c r="B150" s="123"/>
      <c r="C150" s="122"/>
      <c r="D150" s="123">
        <v>12</v>
      </c>
      <c r="E150" s="123"/>
      <c r="F150" s="132">
        <v>34.5</v>
      </c>
      <c r="G150" s="125">
        <f t="shared" si="9"/>
        <v>414</v>
      </c>
    </row>
    <row r="151" spans="1:7" x14ac:dyDescent="0.2">
      <c r="A151" s="122"/>
      <c r="B151" s="123"/>
      <c r="C151" s="122"/>
      <c r="D151" s="123">
        <v>24</v>
      </c>
      <c r="E151" s="123"/>
      <c r="F151" s="132">
        <v>32.6</v>
      </c>
      <c r="G151" s="125">
        <f t="shared" si="9"/>
        <v>782.40000000000009</v>
      </c>
    </row>
    <row r="152" spans="1:7" x14ac:dyDescent="0.2">
      <c r="A152" s="122"/>
      <c r="B152" s="123"/>
      <c r="C152" s="122"/>
      <c r="D152" s="123">
        <v>48</v>
      </c>
      <c r="E152" s="123"/>
      <c r="F152" s="132">
        <v>31</v>
      </c>
      <c r="G152" s="125">
        <f t="shared" si="9"/>
        <v>1488</v>
      </c>
    </row>
    <row r="153" spans="1:7" x14ac:dyDescent="0.2">
      <c r="A153" s="85">
        <v>8895</v>
      </c>
      <c r="B153" s="86" t="s">
        <v>15</v>
      </c>
      <c r="C153" s="85" t="s">
        <v>57</v>
      </c>
      <c r="D153" s="89">
        <v>1</v>
      </c>
      <c r="E153" s="89"/>
      <c r="F153" s="87">
        <v>68.900000000000006</v>
      </c>
      <c r="G153" s="88">
        <f t="shared" si="9"/>
        <v>68.900000000000006</v>
      </c>
    </row>
    <row r="154" spans="1:7" x14ac:dyDescent="0.2">
      <c r="A154" s="85"/>
      <c r="B154" s="86"/>
      <c r="C154" s="85"/>
      <c r="D154" s="89">
        <v>6</v>
      </c>
      <c r="E154" s="89"/>
      <c r="F154" s="87">
        <v>65.5</v>
      </c>
      <c r="G154" s="88">
        <f t="shared" si="9"/>
        <v>393</v>
      </c>
    </row>
    <row r="155" spans="1:7" x14ac:dyDescent="0.2">
      <c r="A155" s="85"/>
      <c r="B155" s="86"/>
      <c r="C155" s="85"/>
      <c r="D155" s="89">
        <v>12</v>
      </c>
      <c r="E155" s="89"/>
      <c r="F155" s="87">
        <v>62.4</v>
      </c>
      <c r="G155" s="88">
        <f t="shared" si="9"/>
        <v>748.8</v>
      </c>
    </row>
    <row r="156" spans="1:7" x14ac:dyDescent="0.2">
      <c r="A156" s="85"/>
      <c r="B156" s="86"/>
      <c r="C156" s="85"/>
      <c r="D156" s="89">
        <v>24</v>
      </c>
      <c r="E156" s="89"/>
      <c r="F156" s="87">
        <v>59.3</v>
      </c>
      <c r="G156" s="88">
        <f t="shared" si="9"/>
        <v>1423.1999999999998</v>
      </c>
    </row>
    <row r="157" spans="1:7" x14ac:dyDescent="0.2">
      <c r="A157" s="122">
        <v>8897</v>
      </c>
      <c r="B157" s="123" t="s">
        <v>58</v>
      </c>
      <c r="C157" s="122" t="s">
        <v>59</v>
      </c>
      <c r="D157" s="123">
        <v>1</v>
      </c>
      <c r="E157" s="123"/>
      <c r="F157" s="132">
        <v>51.9</v>
      </c>
      <c r="G157" s="125">
        <f>F157*13</f>
        <v>674.69999999999993</v>
      </c>
    </row>
    <row r="158" spans="1:7" x14ac:dyDescent="0.2">
      <c r="A158" s="85">
        <v>8898</v>
      </c>
      <c r="B158" s="86" t="s">
        <v>37</v>
      </c>
      <c r="C158" s="85" t="s">
        <v>26</v>
      </c>
      <c r="D158" s="86">
        <v>1</v>
      </c>
      <c r="E158" s="86"/>
      <c r="F158" s="87">
        <v>49.4</v>
      </c>
      <c r="G158" s="90">
        <f>F158*30</f>
        <v>1482</v>
      </c>
    </row>
    <row r="159" spans="1:7" x14ac:dyDescent="0.2">
      <c r="A159" s="122">
        <v>8899</v>
      </c>
      <c r="B159" s="123" t="s">
        <v>38</v>
      </c>
      <c r="C159" s="122" t="s">
        <v>26</v>
      </c>
      <c r="D159" s="123">
        <v>1</v>
      </c>
      <c r="E159" s="123"/>
      <c r="F159" s="132">
        <v>46.3</v>
      </c>
      <c r="G159" s="125">
        <f>F159*60</f>
        <v>2778</v>
      </c>
    </row>
    <row r="160" spans="1:7" x14ac:dyDescent="0.2">
      <c r="A160" s="85">
        <v>8900</v>
      </c>
      <c r="B160" s="86" t="s">
        <v>25</v>
      </c>
      <c r="C160" s="85" t="s">
        <v>26</v>
      </c>
      <c r="D160" s="86">
        <v>1</v>
      </c>
      <c r="E160" s="86"/>
      <c r="F160" s="87">
        <v>44.1</v>
      </c>
      <c r="G160" s="88">
        <f>F160*200</f>
        <v>8820</v>
      </c>
    </row>
    <row r="162" spans="1:7" ht="15" x14ac:dyDescent="0.2">
      <c r="A162" s="153" t="s">
        <v>68</v>
      </c>
      <c r="B162" s="153"/>
      <c r="C162" s="18"/>
      <c r="D162" s="18"/>
      <c r="E162" s="18"/>
      <c r="F162" s="18"/>
      <c r="G162" s="18"/>
    </row>
    <row r="163" spans="1:7" x14ac:dyDescent="0.2">
      <c r="A163" s="12" t="s">
        <v>1</v>
      </c>
      <c r="B163" s="11" t="s">
        <v>2</v>
      </c>
      <c r="C163" s="12" t="s">
        <v>3</v>
      </c>
      <c r="D163" s="11" t="s">
        <v>4</v>
      </c>
      <c r="E163" s="11" t="s">
        <v>5</v>
      </c>
      <c r="F163" s="11"/>
      <c r="G163" s="11" t="s">
        <v>6</v>
      </c>
    </row>
    <row r="164" spans="1:7" x14ac:dyDescent="0.2">
      <c r="A164" s="85">
        <v>9128</v>
      </c>
      <c r="B164" s="86" t="s">
        <v>54</v>
      </c>
      <c r="C164" s="85" t="s">
        <v>55</v>
      </c>
      <c r="D164" s="86">
        <v>1</v>
      </c>
      <c r="E164" s="86"/>
      <c r="F164" s="87">
        <v>44.6</v>
      </c>
      <c r="G164" s="88">
        <f t="shared" ref="G164:G178" si="10">D164*F164</f>
        <v>44.6</v>
      </c>
    </row>
    <row r="165" spans="1:7" x14ac:dyDescent="0.2">
      <c r="A165" s="89"/>
      <c r="B165" s="89"/>
      <c r="C165" s="89"/>
      <c r="D165" s="86">
        <v>12</v>
      </c>
      <c r="E165" s="86"/>
      <c r="F165" s="87">
        <v>40.799999999999997</v>
      </c>
      <c r="G165" s="88">
        <f t="shared" si="10"/>
        <v>489.59999999999997</v>
      </c>
    </row>
    <row r="166" spans="1:7" x14ac:dyDescent="0.2">
      <c r="A166" s="85"/>
      <c r="B166" s="86"/>
      <c r="C166" s="85"/>
      <c r="D166" s="86">
        <v>24</v>
      </c>
      <c r="E166" s="86"/>
      <c r="F166" s="87">
        <v>39</v>
      </c>
      <c r="G166" s="88">
        <f t="shared" si="10"/>
        <v>936</v>
      </c>
    </row>
    <row r="167" spans="1:7" x14ac:dyDescent="0.2">
      <c r="A167" s="85"/>
      <c r="B167" s="86"/>
      <c r="C167" s="85"/>
      <c r="D167" s="86">
        <v>48</v>
      </c>
      <c r="E167" s="86"/>
      <c r="F167" s="87">
        <v>37.1</v>
      </c>
      <c r="G167" s="88">
        <f t="shared" si="10"/>
        <v>1780.8000000000002</v>
      </c>
    </row>
    <row r="168" spans="1:7" x14ac:dyDescent="0.2">
      <c r="A168" s="122">
        <v>9164</v>
      </c>
      <c r="B168" s="123" t="s">
        <v>54</v>
      </c>
      <c r="C168" s="122" t="s">
        <v>56</v>
      </c>
      <c r="D168" s="123">
        <v>1</v>
      </c>
      <c r="E168" s="123"/>
      <c r="F168" s="132">
        <v>44.6</v>
      </c>
      <c r="G168" s="125">
        <f t="shared" si="10"/>
        <v>44.6</v>
      </c>
    </row>
    <row r="169" spans="1:7" x14ac:dyDescent="0.2">
      <c r="A169" s="124"/>
      <c r="B169" s="124"/>
      <c r="C169" s="124"/>
      <c r="D169" s="123">
        <v>12</v>
      </c>
      <c r="E169" s="123"/>
      <c r="F169" s="132">
        <v>40.799999999999997</v>
      </c>
      <c r="G169" s="125">
        <f t="shared" si="10"/>
        <v>489.59999999999997</v>
      </c>
    </row>
    <row r="170" spans="1:7" x14ac:dyDescent="0.2">
      <c r="A170" s="122"/>
      <c r="B170" s="123"/>
      <c r="C170" s="122"/>
      <c r="D170" s="123">
        <v>24</v>
      </c>
      <c r="E170" s="123"/>
      <c r="F170" s="132">
        <v>39</v>
      </c>
      <c r="G170" s="125">
        <f t="shared" si="10"/>
        <v>936</v>
      </c>
    </row>
    <row r="171" spans="1:7" x14ac:dyDescent="0.2">
      <c r="A171" s="122"/>
      <c r="B171" s="123"/>
      <c r="C171" s="122"/>
      <c r="D171" s="123">
        <v>48</v>
      </c>
      <c r="E171" s="123"/>
      <c r="F171" s="132">
        <v>37.1</v>
      </c>
      <c r="G171" s="125">
        <f t="shared" si="10"/>
        <v>1780.8000000000002</v>
      </c>
    </row>
    <row r="172" spans="1:7" x14ac:dyDescent="0.2">
      <c r="A172" s="85">
        <v>9193</v>
      </c>
      <c r="B172" s="86" t="s">
        <v>14</v>
      </c>
      <c r="C172" s="85" t="s">
        <v>11</v>
      </c>
      <c r="D172" s="86">
        <v>1</v>
      </c>
      <c r="E172" s="86"/>
      <c r="F172" s="87">
        <v>38.1</v>
      </c>
      <c r="G172" s="88">
        <f t="shared" si="10"/>
        <v>38.1</v>
      </c>
    </row>
    <row r="173" spans="1:7" x14ac:dyDescent="0.2">
      <c r="A173" s="89"/>
      <c r="B173" s="89"/>
      <c r="C173" s="89"/>
      <c r="D173" s="86">
        <v>12</v>
      </c>
      <c r="E173" s="86"/>
      <c r="F173" s="87">
        <v>34.9</v>
      </c>
      <c r="G173" s="88">
        <f t="shared" si="10"/>
        <v>418.79999999999995</v>
      </c>
    </row>
    <row r="174" spans="1:7" x14ac:dyDescent="0.2">
      <c r="A174" s="85"/>
      <c r="B174" s="86"/>
      <c r="C174" s="85"/>
      <c r="D174" s="86">
        <v>24</v>
      </c>
      <c r="E174" s="86"/>
      <c r="F174" s="87">
        <v>33.299999999999997</v>
      </c>
      <c r="G174" s="88">
        <f t="shared" si="10"/>
        <v>799.19999999999993</v>
      </c>
    </row>
    <row r="175" spans="1:7" x14ac:dyDescent="0.2">
      <c r="A175" s="85"/>
      <c r="B175" s="86"/>
      <c r="C175" s="85"/>
      <c r="D175" s="86">
        <v>48</v>
      </c>
      <c r="E175" s="86"/>
      <c r="F175" s="87">
        <v>31.9</v>
      </c>
      <c r="G175" s="88">
        <f t="shared" si="10"/>
        <v>1531.1999999999998</v>
      </c>
    </row>
    <row r="176" spans="1:7" x14ac:dyDescent="0.2">
      <c r="A176" s="122">
        <v>9131</v>
      </c>
      <c r="B176" s="123" t="s">
        <v>15</v>
      </c>
      <c r="C176" s="122" t="s">
        <v>57</v>
      </c>
      <c r="D176" s="123">
        <v>6</v>
      </c>
      <c r="E176" s="128" t="s">
        <v>23</v>
      </c>
      <c r="F176" s="132">
        <v>75</v>
      </c>
      <c r="G176" s="125">
        <f t="shared" si="10"/>
        <v>450</v>
      </c>
    </row>
    <row r="177" spans="1:7" x14ac:dyDescent="0.2">
      <c r="A177" s="124"/>
      <c r="B177" s="124"/>
      <c r="C177" s="124"/>
      <c r="D177" s="123">
        <v>12</v>
      </c>
      <c r="E177" s="128" t="s">
        <v>23</v>
      </c>
      <c r="F177" s="132">
        <v>71.3</v>
      </c>
      <c r="G177" s="125">
        <f t="shared" si="10"/>
        <v>855.59999999999991</v>
      </c>
    </row>
    <row r="178" spans="1:7" x14ac:dyDescent="0.2">
      <c r="A178" s="122"/>
      <c r="B178" s="123"/>
      <c r="C178" s="122"/>
      <c r="D178" s="123">
        <v>24</v>
      </c>
      <c r="E178" s="128" t="s">
        <v>23</v>
      </c>
      <c r="F178" s="132">
        <v>67.8</v>
      </c>
      <c r="G178" s="125">
        <f t="shared" si="10"/>
        <v>1627.1999999999998</v>
      </c>
    </row>
    <row r="179" spans="1:7" x14ac:dyDescent="0.2">
      <c r="A179" s="85">
        <v>9134</v>
      </c>
      <c r="B179" s="86" t="s">
        <v>58</v>
      </c>
      <c r="C179" s="85" t="s">
        <v>59</v>
      </c>
      <c r="D179" s="86">
        <v>1</v>
      </c>
      <c r="E179" s="96" t="s">
        <v>23</v>
      </c>
      <c r="F179" s="87">
        <v>64.3</v>
      </c>
      <c r="G179" s="88">
        <f>F179*13</f>
        <v>835.9</v>
      </c>
    </row>
    <row r="180" spans="1:7" x14ac:dyDescent="0.2">
      <c r="A180" s="122">
        <v>9136</v>
      </c>
      <c r="B180" s="123" t="s">
        <v>37</v>
      </c>
      <c r="C180" s="122" t="s">
        <v>26</v>
      </c>
      <c r="D180" s="124">
        <v>1</v>
      </c>
      <c r="E180" s="124"/>
      <c r="F180" s="132">
        <v>61.8</v>
      </c>
      <c r="G180" s="135">
        <f>F180*30</f>
        <v>1854</v>
      </c>
    </row>
    <row r="181" spans="1:7" x14ac:dyDescent="0.2">
      <c r="A181" s="85">
        <v>9137</v>
      </c>
      <c r="B181" s="86" t="s">
        <v>38</v>
      </c>
      <c r="C181" s="85" t="s">
        <v>26</v>
      </c>
      <c r="D181" s="86">
        <v>1</v>
      </c>
      <c r="E181" s="96" t="s">
        <v>23</v>
      </c>
      <c r="F181" s="87">
        <v>58.7</v>
      </c>
      <c r="G181" s="88">
        <f>F181*60</f>
        <v>3522</v>
      </c>
    </row>
    <row r="182" spans="1:7" x14ac:dyDescent="0.2">
      <c r="A182" s="122">
        <v>9138</v>
      </c>
      <c r="B182" s="123" t="s">
        <v>25</v>
      </c>
      <c r="C182" s="122" t="s">
        <v>26</v>
      </c>
      <c r="D182" s="123">
        <v>1</v>
      </c>
      <c r="E182" s="128" t="s">
        <v>23</v>
      </c>
      <c r="F182" s="132">
        <v>57.5</v>
      </c>
      <c r="G182" s="125">
        <f>F182*200</f>
        <v>11500</v>
      </c>
    </row>
    <row r="184" spans="1:7" ht="15" x14ac:dyDescent="0.2">
      <c r="A184" s="153" t="s">
        <v>69</v>
      </c>
      <c r="B184" s="153"/>
      <c r="C184" s="18"/>
      <c r="D184" s="18"/>
      <c r="E184" s="18"/>
      <c r="F184" s="18"/>
      <c r="G184" s="18"/>
    </row>
    <row r="185" spans="1:7" x14ac:dyDescent="0.2">
      <c r="A185" s="12" t="s">
        <v>1</v>
      </c>
      <c r="B185" s="11" t="s">
        <v>2</v>
      </c>
      <c r="C185" s="12" t="s">
        <v>3</v>
      </c>
      <c r="D185" s="11" t="s">
        <v>4</v>
      </c>
      <c r="E185" s="11" t="s">
        <v>5</v>
      </c>
      <c r="F185" s="11"/>
      <c r="G185" s="11" t="s">
        <v>6</v>
      </c>
    </row>
    <row r="186" spans="1:7" x14ac:dyDescent="0.2">
      <c r="A186" s="85">
        <v>6902</v>
      </c>
      <c r="B186" s="86" t="s">
        <v>14</v>
      </c>
      <c r="C186" s="85" t="s">
        <v>11</v>
      </c>
      <c r="D186" s="86">
        <v>1</v>
      </c>
      <c r="E186" s="86"/>
      <c r="F186" s="87">
        <v>49</v>
      </c>
      <c r="G186" s="88">
        <f>D186*F186</f>
        <v>49</v>
      </c>
    </row>
    <row r="187" spans="1:7" x14ac:dyDescent="0.2">
      <c r="A187" s="85"/>
      <c r="B187" s="86"/>
      <c r="C187" s="85"/>
      <c r="D187" s="86">
        <v>12</v>
      </c>
      <c r="E187" s="86"/>
      <c r="F187" s="87">
        <v>44.7</v>
      </c>
      <c r="G187" s="88">
        <f>D187*F187</f>
        <v>536.40000000000009</v>
      </c>
    </row>
    <row r="188" spans="1:7" x14ac:dyDescent="0.2">
      <c r="A188" s="89"/>
      <c r="B188" s="89"/>
      <c r="C188" s="89"/>
      <c r="D188" s="86">
        <v>24</v>
      </c>
      <c r="E188" s="86"/>
      <c r="F188" s="87">
        <v>42.6</v>
      </c>
      <c r="G188" s="88">
        <f>D188*F188</f>
        <v>1022.4000000000001</v>
      </c>
    </row>
    <row r="189" spans="1:7" x14ac:dyDescent="0.2">
      <c r="A189" s="85"/>
      <c r="B189" s="86"/>
      <c r="C189" s="85"/>
      <c r="D189" s="86">
        <v>48</v>
      </c>
      <c r="E189" s="96"/>
      <c r="F189" s="87">
        <v>40.5</v>
      </c>
      <c r="G189" s="88">
        <f>D189*F189</f>
        <v>1944</v>
      </c>
    </row>
    <row r="190" spans="1:7" x14ac:dyDescent="0.2">
      <c r="A190" s="122">
        <v>6893</v>
      </c>
      <c r="B190" s="123" t="s">
        <v>58</v>
      </c>
      <c r="C190" s="122" t="s">
        <v>59</v>
      </c>
      <c r="D190" s="123">
        <v>1</v>
      </c>
      <c r="E190" s="123"/>
      <c r="F190" s="132">
        <v>68.5</v>
      </c>
      <c r="G190" s="125">
        <f>D190*F190*13</f>
        <v>890.5</v>
      </c>
    </row>
    <row r="191" spans="1:7" x14ac:dyDescent="0.2">
      <c r="F191" s="6"/>
    </row>
  </sheetData>
  <mergeCells count="13">
    <mergeCell ref="E144:F144"/>
    <mergeCell ref="E125:F125"/>
    <mergeCell ref="A106:B106"/>
    <mergeCell ref="E66:F66"/>
    <mergeCell ref="A124:B124"/>
    <mergeCell ref="A123:G123"/>
    <mergeCell ref="E25:F25"/>
    <mergeCell ref="E107:F107"/>
    <mergeCell ref="A1:G3"/>
    <mergeCell ref="A65:B65"/>
    <mergeCell ref="A5:B5"/>
    <mergeCell ref="E6:F6"/>
    <mergeCell ref="A24:B24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B784-C984-43A6-8141-02A6EE5F2E41}">
  <sheetPr codeName="Blad3"/>
  <dimension ref="A1:K202"/>
  <sheetViews>
    <sheetView showGridLines="0" topLeftCell="A82" zoomScaleNormal="100" workbookViewId="0">
      <selection activeCell="O112" sqref="O112"/>
    </sheetView>
  </sheetViews>
  <sheetFormatPr defaultColWidth="9.140625" defaultRowHeight="12.75" x14ac:dyDescent="0.2"/>
  <cols>
    <col min="1" max="1" width="13.7109375" style="1" customWidth="1"/>
    <col min="2" max="2" width="11.5703125" style="1" customWidth="1"/>
    <col min="3" max="3" width="20.28515625" style="3" customWidth="1"/>
    <col min="4" max="4" width="8.140625" style="1" customWidth="1"/>
    <col min="5" max="5" width="2" style="1" customWidth="1"/>
    <col min="6" max="6" width="19.5703125" style="1" customWidth="1"/>
    <col min="7" max="7" width="20.28515625" style="1" customWidth="1"/>
    <col min="8" max="8" width="9.140625" style="1"/>
    <col min="9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D4" s="2"/>
      <c r="E4" s="2"/>
      <c r="F4" s="2"/>
      <c r="G4" s="2"/>
    </row>
    <row r="5" spans="1:7" ht="15" x14ac:dyDescent="0.2">
      <c r="A5" s="224" t="s">
        <v>70</v>
      </c>
      <c r="B5" s="224"/>
      <c r="C5" s="18"/>
      <c r="D5" s="18"/>
      <c r="E5" s="18"/>
      <c r="F5" s="18"/>
      <c r="G5" s="18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225" t="s">
        <v>5</v>
      </c>
      <c r="F6" s="225"/>
      <c r="G6" s="11" t="s">
        <v>6</v>
      </c>
    </row>
    <row r="7" spans="1:7" ht="12.75" customHeight="1" x14ac:dyDescent="0.2">
      <c r="A7" s="85">
        <v>8020</v>
      </c>
      <c r="B7" s="86" t="s">
        <v>12</v>
      </c>
      <c r="C7" s="85" t="s">
        <v>11</v>
      </c>
      <c r="D7" s="86">
        <v>1</v>
      </c>
      <c r="E7" s="86"/>
      <c r="F7" s="87">
        <v>18.600000000000001</v>
      </c>
      <c r="G7" s="88">
        <f>D7*F7</f>
        <v>18.600000000000001</v>
      </c>
    </row>
    <row r="8" spans="1:7" x14ac:dyDescent="0.2">
      <c r="A8" s="85"/>
      <c r="B8" s="86"/>
      <c r="C8" s="85"/>
      <c r="D8" s="86">
        <v>12</v>
      </c>
      <c r="E8" s="86"/>
      <c r="F8" s="87">
        <v>16.7</v>
      </c>
      <c r="G8" s="88">
        <f>D8*F8</f>
        <v>200.39999999999998</v>
      </c>
    </row>
    <row r="9" spans="1:7" x14ac:dyDescent="0.2">
      <c r="A9" s="85"/>
      <c r="B9" s="86"/>
      <c r="C9" s="85"/>
      <c r="D9" s="86">
        <v>24</v>
      </c>
      <c r="E9" s="86"/>
      <c r="F9" s="87">
        <v>16.2</v>
      </c>
      <c r="G9" s="88">
        <f>D9*F9</f>
        <v>388.79999999999995</v>
      </c>
    </row>
    <row r="10" spans="1:7" x14ac:dyDescent="0.2">
      <c r="A10" s="85"/>
      <c r="B10" s="86"/>
      <c r="C10" s="85"/>
      <c r="D10" s="86">
        <v>48</v>
      </c>
      <c r="E10" s="86"/>
      <c r="F10" s="87">
        <v>15.5</v>
      </c>
      <c r="G10" s="88">
        <f>D10*F10</f>
        <v>744</v>
      </c>
    </row>
    <row r="11" spans="1:7" x14ac:dyDescent="0.2">
      <c r="A11" s="3"/>
      <c r="B11" s="2"/>
      <c r="D11" s="2"/>
      <c r="E11" s="2"/>
      <c r="F11" s="6"/>
      <c r="G11" s="4"/>
    </row>
    <row r="12" spans="1:7" ht="15" x14ac:dyDescent="0.2">
      <c r="A12" s="224" t="s">
        <v>71</v>
      </c>
      <c r="B12" s="224"/>
      <c r="C12" s="18"/>
      <c r="D12" s="18"/>
      <c r="E12" s="18"/>
      <c r="F12" s="18"/>
      <c r="G12" s="18"/>
    </row>
    <row r="13" spans="1:7" x14ac:dyDescent="0.2">
      <c r="A13" s="12" t="s">
        <v>1</v>
      </c>
      <c r="B13" s="11" t="s">
        <v>2</v>
      </c>
      <c r="C13" s="12" t="s">
        <v>3</v>
      </c>
      <c r="D13" s="11" t="s">
        <v>4</v>
      </c>
      <c r="E13" s="225" t="s">
        <v>5</v>
      </c>
      <c r="F13" s="225"/>
      <c r="G13" s="11" t="s">
        <v>6</v>
      </c>
    </row>
    <row r="14" spans="1:7" x14ac:dyDescent="0.2">
      <c r="A14" s="85">
        <v>8981</v>
      </c>
      <c r="B14" s="86" t="s">
        <v>54</v>
      </c>
      <c r="C14" s="85" t="s">
        <v>55</v>
      </c>
      <c r="D14" s="86">
        <v>1</v>
      </c>
      <c r="E14" s="86"/>
      <c r="F14" s="87">
        <v>34.6</v>
      </c>
      <c r="G14" s="88">
        <f>D14*F14</f>
        <v>34.6</v>
      </c>
    </row>
    <row r="15" spans="1:7" x14ac:dyDescent="0.2">
      <c r="A15" s="85"/>
      <c r="B15" s="86"/>
      <c r="C15" s="85"/>
      <c r="D15" s="86">
        <v>12</v>
      </c>
      <c r="E15" s="86"/>
      <c r="F15" s="87">
        <v>32.6</v>
      </c>
      <c r="G15" s="88">
        <f>D15*F15</f>
        <v>391.20000000000005</v>
      </c>
    </row>
    <row r="16" spans="1:7" x14ac:dyDescent="0.2">
      <c r="A16" s="85"/>
      <c r="B16" s="86"/>
      <c r="C16" s="85"/>
      <c r="D16" s="86">
        <v>24</v>
      </c>
      <c r="E16" s="86"/>
      <c r="F16" s="87">
        <v>31</v>
      </c>
      <c r="G16" s="88">
        <f>D16*F16</f>
        <v>744</v>
      </c>
    </row>
    <row r="17" spans="1:7" x14ac:dyDescent="0.2">
      <c r="A17" s="85"/>
      <c r="B17" s="86"/>
      <c r="C17" s="85"/>
      <c r="D17" s="86">
        <v>48</v>
      </c>
      <c r="E17" s="96" t="s">
        <v>23</v>
      </c>
      <c r="F17" s="87">
        <v>29.8</v>
      </c>
      <c r="G17" s="88">
        <f>D17*F17</f>
        <v>1430.4</v>
      </c>
    </row>
    <row r="18" spans="1:7" x14ac:dyDescent="0.2">
      <c r="A18" s="122">
        <v>9886</v>
      </c>
      <c r="B18" s="123" t="s">
        <v>54</v>
      </c>
      <c r="C18" s="122" t="s">
        <v>56</v>
      </c>
      <c r="D18" s="123">
        <v>1</v>
      </c>
      <c r="E18" s="123"/>
      <c r="F18" s="132">
        <v>34.6</v>
      </c>
      <c r="G18" s="125">
        <f>D18*F18</f>
        <v>34.6</v>
      </c>
    </row>
    <row r="19" spans="1:7" ht="12.75" customHeight="1" x14ac:dyDescent="0.2">
      <c r="A19" s="124"/>
      <c r="B19" s="124"/>
      <c r="C19" s="124"/>
      <c r="D19" s="123">
        <v>12</v>
      </c>
      <c r="E19" s="123"/>
      <c r="F19" s="132">
        <v>32.6</v>
      </c>
      <c r="G19" s="125">
        <f t="shared" ref="G19:G24" si="0">D19*F19</f>
        <v>391.20000000000005</v>
      </c>
    </row>
    <row r="20" spans="1:7" x14ac:dyDescent="0.2">
      <c r="A20" s="122"/>
      <c r="B20" s="123"/>
      <c r="C20" s="122"/>
      <c r="D20" s="123">
        <v>24</v>
      </c>
      <c r="E20" s="123"/>
      <c r="F20" s="132">
        <v>31</v>
      </c>
      <c r="G20" s="125">
        <f t="shared" si="0"/>
        <v>744</v>
      </c>
    </row>
    <row r="21" spans="1:7" x14ac:dyDescent="0.2">
      <c r="A21" s="122"/>
      <c r="B21" s="123"/>
      <c r="C21" s="122"/>
      <c r="D21" s="123">
        <v>48</v>
      </c>
      <c r="E21" s="128"/>
      <c r="F21" s="132">
        <v>29.8</v>
      </c>
      <c r="G21" s="125">
        <f t="shared" si="0"/>
        <v>1430.4</v>
      </c>
    </row>
    <row r="22" spans="1:7" x14ac:dyDescent="0.2">
      <c r="A22" s="85">
        <v>8526</v>
      </c>
      <c r="B22" s="86" t="s">
        <v>15</v>
      </c>
      <c r="C22" s="85" t="s">
        <v>57</v>
      </c>
      <c r="D22" s="89">
        <v>6</v>
      </c>
      <c r="E22" s="96" t="s">
        <v>23</v>
      </c>
      <c r="F22" s="87">
        <v>76.2</v>
      </c>
      <c r="G22" s="88">
        <f t="shared" si="0"/>
        <v>457.20000000000005</v>
      </c>
    </row>
    <row r="23" spans="1:7" x14ac:dyDescent="0.2">
      <c r="A23" s="85"/>
      <c r="B23" s="86"/>
      <c r="C23" s="85"/>
      <c r="D23" s="89">
        <v>12</v>
      </c>
      <c r="E23" s="96" t="s">
        <v>23</v>
      </c>
      <c r="F23" s="87">
        <v>72.599999999999994</v>
      </c>
      <c r="G23" s="88">
        <f t="shared" si="0"/>
        <v>871.19999999999993</v>
      </c>
    </row>
    <row r="24" spans="1:7" x14ac:dyDescent="0.2">
      <c r="A24" s="85"/>
      <c r="B24" s="86"/>
      <c r="C24" s="85"/>
      <c r="D24" s="89">
        <v>24</v>
      </c>
      <c r="E24" s="96" t="s">
        <v>23</v>
      </c>
      <c r="F24" s="87">
        <v>69.099999999999994</v>
      </c>
      <c r="G24" s="88">
        <f t="shared" si="0"/>
        <v>1658.3999999999999</v>
      </c>
    </row>
    <row r="25" spans="1:7" x14ac:dyDescent="0.2">
      <c r="A25" s="122">
        <v>9248</v>
      </c>
      <c r="B25" s="123" t="s">
        <v>58</v>
      </c>
      <c r="C25" s="122" t="s">
        <v>59</v>
      </c>
      <c r="D25" s="123">
        <v>1</v>
      </c>
      <c r="E25" s="123"/>
      <c r="F25" s="132">
        <v>60.8</v>
      </c>
      <c r="G25" s="125">
        <f>F25*13</f>
        <v>790.4</v>
      </c>
    </row>
    <row r="26" spans="1:7" ht="12.75" customHeight="1" x14ac:dyDescent="0.2">
      <c r="A26" s="85">
        <v>8528</v>
      </c>
      <c r="B26" s="86" t="s">
        <v>37</v>
      </c>
      <c r="C26" s="85" t="s">
        <v>26</v>
      </c>
      <c r="D26" s="86">
        <v>1</v>
      </c>
      <c r="E26" s="86"/>
      <c r="F26" s="87">
        <v>59.5</v>
      </c>
      <c r="G26" s="90">
        <f>F26*30</f>
        <v>1785</v>
      </c>
    </row>
    <row r="27" spans="1:7" x14ac:dyDescent="0.2">
      <c r="A27" s="122">
        <v>8529</v>
      </c>
      <c r="B27" s="123" t="s">
        <v>38</v>
      </c>
      <c r="C27" s="122" t="s">
        <v>26</v>
      </c>
      <c r="D27" s="123">
        <v>1</v>
      </c>
      <c r="E27" s="123"/>
      <c r="F27" s="132">
        <v>57.5</v>
      </c>
      <c r="G27" s="125">
        <f>F27*60</f>
        <v>3450</v>
      </c>
    </row>
    <row r="28" spans="1:7" x14ac:dyDescent="0.2">
      <c r="A28" s="3"/>
      <c r="B28" s="2"/>
      <c r="D28" s="2"/>
      <c r="E28" s="151"/>
      <c r="F28" s="6"/>
      <c r="G28" s="4"/>
    </row>
    <row r="29" spans="1:7" ht="15" x14ac:dyDescent="0.2">
      <c r="A29" s="153" t="s">
        <v>72</v>
      </c>
      <c r="B29" s="153"/>
      <c r="C29" s="18"/>
      <c r="D29" s="18"/>
      <c r="E29" s="18"/>
      <c r="F29" s="18"/>
      <c r="G29" s="18"/>
    </row>
    <row r="30" spans="1:7" x14ac:dyDescent="0.2">
      <c r="A30" s="12" t="s">
        <v>1</v>
      </c>
      <c r="B30" s="11" t="s">
        <v>2</v>
      </c>
      <c r="C30" s="12" t="s">
        <v>3</v>
      </c>
      <c r="D30" s="11" t="s">
        <v>4</v>
      </c>
      <c r="E30" s="225" t="s">
        <v>5</v>
      </c>
      <c r="F30" s="225"/>
      <c r="G30" s="11" t="s">
        <v>6</v>
      </c>
    </row>
    <row r="31" spans="1:7" x14ac:dyDescent="0.2">
      <c r="A31" s="85">
        <v>8559</v>
      </c>
      <c r="B31" s="86" t="s">
        <v>54</v>
      </c>
      <c r="C31" s="85" t="s">
        <v>55</v>
      </c>
      <c r="D31" s="86">
        <v>12</v>
      </c>
      <c r="E31" s="96"/>
      <c r="F31" s="87">
        <v>32.6</v>
      </c>
      <c r="G31" s="88">
        <f t="shared" ref="G31:G39" si="1">D31*F31</f>
        <v>391.20000000000005</v>
      </c>
    </row>
    <row r="32" spans="1:7" x14ac:dyDescent="0.2">
      <c r="A32" s="85"/>
      <c r="B32" s="86"/>
      <c r="C32" s="85"/>
      <c r="D32" s="86">
        <v>24</v>
      </c>
      <c r="E32" s="96"/>
      <c r="F32" s="87">
        <v>31</v>
      </c>
      <c r="G32" s="88">
        <f t="shared" si="1"/>
        <v>744</v>
      </c>
    </row>
    <row r="33" spans="1:7" x14ac:dyDescent="0.2">
      <c r="A33" s="85"/>
      <c r="B33" s="86"/>
      <c r="C33" s="85"/>
      <c r="D33" s="86">
        <v>48</v>
      </c>
      <c r="E33" s="96" t="s">
        <v>23</v>
      </c>
      <c r="F33" s="87">
        <v>29.8</v>
      </c>
      <c r="G33" s="88">
        <f t="shared" si="1"/>
        <v>1430.4</v>
      </c>
    </row>
    <row r="34" spans="1:7" x14ac:dyDescent="0.2">
      <c r="A34" s="122">
        <v>9098</v>
      </c>
      <c r="B34" s="123" t="s">
        <v>54</v>
      </c>
      <c r="C34" s="122" t="s">
        <v>56</v>
      </c>
      <c r="D34" s="123">
        <v>12</v>
      </c>
      <c r="E34" s="128" t="s">
        <v>23</v>
      </c>
      <c r="F34" s="132">
        <v>32.6</v>
      </c>
      <c r="G34" s="125">
        <f t="shared" si="1"/>
        <v>391.20000000000005</v>
      </c>
    </row>
    <row r="35" spans="1:7" x14ac:dyDescent="0.2">
      <c r="A35" s="122"/>
      <c r="B35" s="123"/>
      <c r="C35" s="122"/>
      <c r="D35" s="123">
        <v>24</v>
      </c>
      <c r="E35" s="128" t="s">
        <v>23</v>
      </c>
      <c r="F35" s="132">
        <v>31</v>
      </c>
      <c r="G35" s="125">
        <f t="shared" si="1"/>
        <v>744</v>
      </c>
    </row>
    <row r="36" spans="1:7" x14ac:dyDescent="0.2">
      <c r="A36" s="122"/>
      <c r="B36" s="123"/>
      <c r="C36" s="122"/>
      <c r="D36" s="123">
        <v>48</v>
      </c>
      <c r="E36" s="128" t="s">
        <v>23</v>
      </c>
      <c r="F36" s="132">
        <v>29.8</v>
      </c>
      <c r="G36" s="125">
        <f t="shared" si="1"/>
        <v>1430.4</v>
      </c>
    </row>
    <row r="37" spans="1:7" x14ac:dyDescent="0.2">
      <c r="A37" s="85">
        <v>8384</v>
      </c>
      <c r="B37" s="86" t="s">
        <v>15</v>
      </c>
      <c r="C37" s="85" t="s">
        <v>57</v>
      </c>
      <c r="D37" s="89">
        <v>6</v>
      </c>
      <c r="E37" s="89"/>
      <c r="F37" s="87">
        <v>76.2</v>
      </c>
      <c r="G37" s="88">
        <f t="shared" si="1"/>
        <v>457.20000000000005</v>
      </c>
    </row>
    <row r="38" spans="1:7" x14ac:dyDescent="0.2">
      <c r="A38" s="85"/>
      <c r="B38" s="86"/>
      <c r="C38" s="85"/>
      <c r="D38" s="89">
        <v>12</v>
      </c>
      <c r="E38" s="96"/>
      <c r="F38" s="87">
        <v>72.599999999999994</v>
      </c>
      <c r="G38" s="88">
        <f t="shared" si="1"/>
        <v>871.19999999999993</v>
      </c>
    </row>
    <row r="39" spans="1:7" x14ac:dyDescent="0.2">
      <c r="A39" s="85"/>
      <c r="B39" s="86"/>
      <c r="C39" s="85"/>
      <c r="D39" s="89">
        <v>24</v>
      </c>
      <c r="E39" s="96" t="s">
        <v>23</v>
      </c>
      <c r="F39" s="87">
        <v>69.099999999999994</v>
      </c>
      <c r="G39" s="88">
        <f t="shared" si="1"/>
        <v>1658.3999999999999</v>
      </c>
    </row>
    <row r="40" spans="1:7" x14ac:dyDescent="0.2">
      <c r="A40" s="122">
        <v>8556</v>
      </c>
      <c r="B40" s="123" t="s">
        <v>58</v>
      </c>
      <c r="C40" s="122" t="s">
        <v>59</v>
      </c>
      <c r="D40" s="123">
        <v>1</v>
      </c>
      <c r="E40" s="128" t="s">
        <v>23</v>
      </c>
      <c r="F40" s="132">
        <v>60.8</v>
      </c>
      <c r="G40" s="125">
        <f>F40*13</f>
        <v>790.4</v>
      </c>
    </row>
    <row r="41" spans="1:7" ht="12.75" customHeight="1" x14ac:dyDescent="0.2">
      <c r="A41" s="85">
        <v>8034</v>
      </c>
      <c r="B41" s="86" t="s">
        <v>37</v>
      </c>
      <c r="C41" s="85" t="s">
        <v>26</v>
      </c>
      <c r="D41" s="86">
        <v>1</v>
      </c>
      <c r="E41" s="96" t="s">
        <v>23</v>
      </c>
      <c r="F41" s="87">
        <v>59.5</v>
      </c>
      <c r="G41" s="90">
        <f>F41*30</f>
        <v>1785</v>
      </c>
    </row>
    <row r="42" spans="1:7" x14ac:dyDescent="0.2">
      <c r="A42" s="122">
        <v>8036</v>
      </c>
      <c r="B42" s="123" t="s">
        <v>38</v>
      </c>
      <c r="C42" s="122" t="s">
        <v>26</v>
      </c>
      <c r="D42" s="123">
        <v>1</v>
      </c>
      <c r="E42" s="128" t="s">
        <v>23</v>
      </c>
      <c r="F42" s="132">
        <v>57.5</v>
      </c>
      <c r="G42" s="125">
        <f>F42*60</f>
        <v>3450</v>
      </c>
    </row>
    <row r="43" spans="1:7" x14ac:dyDescent="0.2">
      <c r="C43" s="1"/>
    </row>
    <row r="44" spans="1:7" ht="15" x14ac:dyDescent="0.2">
      <c r="A44" s="153" t="s">
        <v>73</v>
      </c>
      <c r="B44" s="153"/>
      <c r="C44" s="18"/>
      <c r="D44" s="18"/>
      <c r="E44" s="18"/>
      <c r="F44" s="18"/>
      <c r="G44" s="18"/>
    </row>
    <row r="45" spans="1:7" x14ac:dyDescent="0.2">
      <c r="A45" s="12" t="s">
        <v>1</v>
      </c>
      <c r="B45" s="11" t="s">
        <v>2</v>
      </c>
      <c r="C45" s="12" t="s">
        <v>3</v>
      </c>
      <c r="D45" s="11" t="s">
        <v>4</v>
      </c>
      <c r="E45" s="11" t="s">
        <v>5</v>
      </c>
      <c r="F45" s="11"/>
      <c r="G45" s="11" t="s">
        <v>6</v>
      </c>
    </row>
    <row r="46" spans="1:7" x14ac:dyDescent="0.2">
      <c r="A46" s="85">
        <v>9855</v>
      </c>
      <c r="B46" s="86" t="s">
        <v>54</v>
      </c>
      <c r="C46" s="85" t="s">
        <v>56</v>
      </c>
      <c r="D46" s="86">
        <v>1</v>
      </c>
      <c r="E46" s="96"/>
      <c r="F46" s="87">
        <v>43.1</v>
      </c>
      <c r="G46" s="88">
        <f>F46*D46</f>
        <v>43.1</v>
      </c>
    </row>
    <row r="47" spans="1:7" x14ac:dyDescent="0.2">
      <c r="A47" s="85"/>
      <c r="B47" s="86"/>
      <c r="C47" s="85"/>
      <c r="D47" s="86">
        <v>12</v>
      </c>
      <c r="E47" s="96" t="s">
        <v>23</v>
      </c>
      <c r="F47" s="87">
        <v>39.4</v>
      </c>
      <c r="G47" s="88">
        <f>F47*D47</f>
        <v>472.79999999999995</v>
      </c>
    </row>
    <row r="48" spans="1:7" x14ac:dyDescent="0.2">
      <c r="A48" s="89"/>
      <c r="B48" s="89"/>
      <c r="C48" s="89"/>
      <c r="D48" s="86">
        <v>24</v>
      </c>
      <c r="E48" s="96" t="s">
        <v>23</v>
      </c>
      <c r="F48" s="87">
        <v>37.5</v>
      </c>
      <c r="G48" s="88">
        <f>F48*D48</f>
        <v>900</v>
      </c>
    </row>
    <row r="49" spans="1:7" x14ac:dyDescent="0.2">
      <c r="A49" s="85"/>
      <c r="B49" s="86"/>
      <c r="C49" s="85"/>
      <c r="D49" s="86">
        <v>48</v>
      </c>
      <c r="E49" s="96" t="s">
        <v>23</v>
      </c>
      <c r="F49" s="87">
        <v>35.6</v>
      </c>
      <c r="G49" s="88">
        <f>F49*D49</f>
        <v>1708.8000000000002</v>
      </c>
    </row>
    <row r="50" spans="1:7" x14ac:dyDescent="0.2">
      <c r="A50" s="122">
        <v>9857</v>
      </c>
      <c r="B50" s="123" t="s">
        <v>15</v>
      </c>
      <c r="C50" s="122" t="s">
        <v>57</v>
      </c>
      <c r="D50" s="124">
        <v>1</v>
      </c>
      <c r="E50" s="128"/>
      <c r="F50" s="132">
        <v>88.2</v>
      </c>
      <c r="G50" s="125">
        <f>D50*F50</f>
        <v>88.2</v>
      </c>
    </row>
    <row r="51" spans="1:7" x14ac:dyDescent="0.2">
      <c r="A51" s="122"/>
      <c r="B51" s="123"/>
      <c r="C51" s="122"/>
      <c r="D51" s="124">
        <v>6</v>
      </c>
      <c r="E51" s="128" t="s">
        <v>23</v>
      </c>
      <c r="F51" s="132">
        <v>80.7</v>
      </c>
      <c r="G51" s="125">
        <f>D51*F51</f>
        <v>484.20000000000005</v>
      </c>
    </row>
    <row r="52" spans="1:7" x14ac:dyDescent="0.2">
      <c r="A52" s="122"/>
      <c r="B52" s="123"/>
      <c r="C52" s="122"/>
      <c r="D52" s="124">
        <v>12</v>
      </c>
      <c r="E52" s="128" t="s">
        <v>23</v>
      </c>
      <c r="F52" s="132">
        <v>76.8</v>
      </c>
      <c r="G52" s="125">
        <f>D52*F52</f>
        <v>921.59999999999991</v>
      </c>
    </row>
    <row r="53" spans="1:7" ht="12.75" customHeight="1" x14ac:dyDescent="0.2">
      <c r="A53" s="122"/>
      <c r="B53" s="123"/>
      <c r="C53" s="122"/>
      <c r="D53" s="124">
        <v>24</v>
      </c>
      <c r="E53" s="128" t="s">
        <v>23</v>
      </c>
      <c r="F53" s="132">
        <v>72.8</v>
      </c>
      <c r="G53" s="125">
        <f>D53*F53</f>
        <v>1747.1999999999998</v>
      </c>
    </row>
    <row r="54" spans="1:7" x14ac:dyDescent="0.2">
      <c r="A54" s="85">
        <v>9859</v>
      </c>
      <c r="B54" s="86" t="s">
        <v>58</v>
      </c>
      <c r="C54" s="85" t="s">
        <v>59</v>
      </c>
      <c r="D54" s="86">
        <v>1</v>
      </c>
      <c r="E54" s="96" t="s">
        <v>23</v>
      </c>
      <c r="F54" s="87">
        <v>66.7</v>
      </c>
      <c r="G54" s="88">
        <f>F54*13</f>
        <v>867.1</v>
      </c>
    </row>
    <row r="55" spans="1:7" x14ac:dyDescent="0.2">
      <c r="A55" s="122">
        <v>9860</v>
      </c>
      <c r="B55" s="123" t="s">
        <v>37</v>
      </c>
      <c r="C55" s="122" t="s">
        <v>26</v>
      </c>
      <c r="D55" s="123">
        <v>1</v>
      </c>
      <c r="E55" s="128" t="s">
        <v>23</v>
      </c>
      <c r="F55" s="132">
        <v>61.4</v>
      </c>
      <c r="G55" s="135">
        <f>F55*30</f>
        <v>1842</v>
      </c>
    </row>
    <row r="56" spans="1:7" x14ac:dyDescent="0.2">
      <c r="A56" s="85">
        <v>9861</v>
      </c>
      <c r="B56" s="86" t="s">
        <v>38</v>
      </c>
      <c r="C56" s="85" t="s">
        <v>26</v>
      </c>
      <c r="D56" s="86">
        <v>1</v>
      </c>
      <c r="E56" s="96" t="s">
        <v>23</v>
      </c>
      <c r="F56" s="87">
        <v>57.3</v>
      </c>
      <c r="G56" s="88">
        <f>F56*60</f>
        <v>3438</v>
      </c>
    </row>
    <row r="57" spans="1:7" x14ac:dyDescent="0.2">
      <c r="A57" s="122">
        <v>9862</v>
      </c>
      <c r="B57" s="123" t="s">
        <v>25</v>
      </c>
      <c r="C57" s="122" t="s">
        <v>26</v>
      </c>
      <c r="D57" s="123">
        <v>1</v>
      </c>
      <c r="E57" s="128" t="s">
        <v>23</v>
      </c>
      <c r="F57" s="132">
        <v>53.6</v>
      </c>
      <c r="G57" s="135">
        <f>F57*200</f>
        <v>10720</v>
      </c>
    </row>
    <row r="59" spans="1:7" ht="15" x14ac:dyDescent="0.2">
      <c r="A59" s="224" t="s">
        <v>74</v>
      </c>
      <c r="B59" s="224"/>
      <c r="C59" s="18"/>
      <c r="D59" s="18"/>
      <c r="E59" s="18"/>
      <c r="F59" s="18"/>
      <c r="G59" s="18"/>
    </row>
    <row r="60" spans="1:7" x14ac:dyDescent="0.2">
      <c r="A60" s="12" t="s">
        <v>1</v>
      </c>
      <c r="B60" s="11" t="s">
        <v>2</v>
      </c>
      <c r="C60" s="12" t="s">
        <v>3</v>
      </c>
      <c r="D60" s="11" t="s">
        <v>4</v>
      </c>
      <c r="E60" s="225" t="s">
        <v>5</v>
      </c>
      <c r="F60" s="225"/>
      <c r="G60" s="11" t="s">
        <v>6</v>
      </c>
    </row>
    <row r="61" spans="1:7" x14ac:dyDescent="0.2">
      <c r="A61" s="85">
        <v>8856</v>
      </c>
      <c r="B61" s="86" t="s">
        <v>54</v>
      </c>
      <c r="C61" s="85" t="s">
        <v>55</v>
      </c>
      <c r="D61" s="86">
        <v>1</v>
      </c>
      <c r="E61" s="86"/>
      <c r="F61" s="87">
        <v>40.299999999999997</v>
      </c>
      <c r="G61" s="88">
        <f>D61*F61</f>
        <v>40.299999999999997</v>
      </c>
    </row>
    <row r="62" spans="1:7" x14ac:dyDescent="0.2">
      <c r="A62" s="85"/>
      <c r="B62" s="86"/>
      <c r="C62" s="85"/>
      <c r="D62" s="86">
        <v>12</v>
      </c>
      <c r="E62" s="86"/>
      <c r="F62" s="87">
        <v>36.799999999999997</v>
      </c>
      <c r="G62" s="88">
        <f>D62*F62</f>
        <v>441.59999999999997</v>
      </c>
    </row>
    <row r="63" spans="1:7" x14ac:dyDescent="0.2">
      <c r="A63" s="85"/>
      <c r="B63" s="86"/>
      <c r="C63" s="85"/>
      <c r="D63" s="86">
        <v>24</v>
      </c>
      <c r="E63" s="86"/>
      <c r="F63" s="87">
        <v>35</v>
      </c>
      <c r="G63" s="88">
        <f>D63*F63</f>
        <v>840</v>
      </c>
    </row>
    <row r="64" spans="1:7" x14ac:dyDescent="0.2">
      <c r="A64" s="85"/>
      <c r="B64" s="86"/>
      <c r="C64" s="85"/>
      <c r="D64" s="86">
        <v>48</v>
      </c>
      <c r="E64" s="96" t="s">
        <v>23</v>
      </c>
      <c r="F64" s="87">
        <v>33.4</v>
      </c>
      <c r="G64" s="88">
        <f>D64*F64</f>
        <v>1603.1999999999998</v>
      </c>
    </row>
    <row r="65" spans="1:7" x14ac:dyDescent="0.2">
      <c r="A65" s="122">
        <v>9806</v>
      </c>
      <c r="B65" s="123" t="s">
        <v>54</v>
      </c>
      <c r="C65" s="122" t="s">
        <v>56</v>
      </c>
      <c r="D65" s="124">
        <v>1</v>
      </c>
      <c r="E65" s="124"/>
      <c r="F65" s="132">
        <v>40.299999999999997</v>
      </c>
      <c r="G65" s="132">
        <f>D65*F65</f>
        <v>40.299999999999997</v>
      </c>
    </row>
    <row r="66" spans="1:7" x14ac:dyDescent="0.2">
      <c r="A66" s="124"/>
      <c r="B66" s="124"/>
      <c r="C66" s="124"/>
      <c r="D66" s="123">
        <v>12</v>
      </c>
      <c r="E66" s="123"/>
      <c r="F66" s="132">
        <v>36.799999999999997</v>
      </c>
      <c r="G66" s="125">
        <f>F66*D66</f>
        <v>441.59999999999997</v>
      </c>
    </row>
    <row r="67" spans="1:7" x14ac:dyDescent="0.2">
      <c r="A67" s="122"/>
      <c r="B67" s="123"/>
      <c r="C67" s="122"/>
      <c r="D67" s="123">
        <v>24</v>
      </c>
      <c r="E67" s="123"/>
      <c r="F67" s="132">
        <v>35</v>
      </c>
      <c r="G67" s="125">
        <f>F67*D67</f>
        <v>840</v>
      </c>
    </row>
    <row r="68" spans="1:7" x14ac:dyDescent="0.2">
      <c r="A68" s="122"/>
      <c r="B68" s="123"/>
      <c r="C68" s="122"/>
      <c r="D68" s="123">
        <v>48</v>
      </c>
      <c r="E68" s="128" t="s">
        <v>23</v>
      </c>
      <c r="F68" s="132">
        <v>33.4</v>
      </c>
      <c r="G68" s="125">
        <f>F68*D68</f>
        <v>1603.1999999999998</v>
      </c>
    </row>
    <row r="69" spans="1:7" x14ac:dyDescent="0.2">
      <c r="A69" s="85">
        <v>8850</v>
      </c>
      <c r="B69" s="86" t="s">
        <v>15</v>
      </c>
      <c r="C69" s="85" t="s">
        <v>57</v>
      </c>
      <c r="D69" s="89">
        <v>1</v>
      </c>
      <c r="E69" s="96"/>
      <c r="F69" s="87">
        <v>97.8</v>
      </c>
      <c r="G69" s="88">
        <f>D69*F69</f>
        <v>97.8</v>
      </c>
    </row>
    <row r="70" spans="1:7" x14ac:dyDescent="0.2">
      <c r="A70" s="85"/>
      <c r="B70" s="86"/>
      <c r="C70" s="85"/>
      <c r="D70" s="89">
        <v>6</v>
      </c>
      <c r="E70" s="96" t="s">
        <v>23</v>
      </c>
      <c r="F70" s="87">
        <v>89.3</v>
      </c>
      <c r="G70" s="88">
        <f>D70*F70</f>
        <v>535.79999999999995</v>
      </c>
    </row>
    <row r="71" spans="1:7" x14ac:dyDescent="0.2">
      <c r="A71" s="85"/>
      <c r="B71" s="86"/>
      <c r="C71" s="85"/>
      <c r="D71" s="89">
        <v>12</v>
      </c>
      <c r="E71" s="96" t="s">
        <v>23</v>
      </c>
      <c r="F71" s="87">
        <v>85</v>
      </c>
      <c r="G71" s="88">
        <f>D71*F71</f>
        <v>1020</v>
      </c>
    </row>
    <row r="72" spans="1:7" x14ac:dyDescent="0.2">
      <c r="A72" s="85"/>
      <c r="B72" s="86"/>
      <c r="C72" s="85"/>
      <c r="D72" s="89">
        <v>24</v>
      </c>
      <c r="E72" s="96" t="s">
        <v>23</v>
      </c>
      <c r="F72" s="87">
        <v>80.8</v>
      </c>
      <c r="G72" s="88">
        <f>D72*F72</f>
        <v>1939.1999999999998</v>
      </c>
    </row>
    <row r="73" spans="1:7" x14ac:dyDescent="0.2">
      <c r="A73" s="122">
        <v>9199</v>
      </c>
      <c r="B73" s="123" t="s">
        <v>58</v>
      </c>
      <c r="C73" s="122" t="s">
        <v>59</v>
      </c>
      <c r="D73" s="123">
        <v>1</v>
      </c>
      <c r="E73" s="128" t="s">
        <v>23</v>
      </c>
      <c r="F73" s="132">
        <v>78.8</v>
      </c>
      <c r="G73" s="125">
        <f>F73*13</f>
        <v>1024.3999999999999</v>
      </c>
    </row>
    <row r="74" spans="1:7" x14ac:dyDescent="0.2">
      <c r="A74" s="85">
        <v>8853</v>
      </c>
      <c r="B74" s="86" t="s">
        <v>37</v>
      </c>
      <c r="C74" s="85" t="s">
        <v>26</v>
      </c>
      <c r="D74" s="86">
        <v>1</v>
      </c>
      <c r="E74" s="86"/>
      <c r="F74" s="87">
        <v>77</v>
      </c>
      <c r="G74" s="90">
        <f>F74*30</f>
        <v>2310</v>
      </c>
    </row>
    <row r="75" spans="1:7" x14ac:dyDescent="0.2">
      <c r="A75" s="122">
        <v>8854</v>
      </c>
      <c r="B75" s="123" t="s">
        <v>38</v>
      </c>
      <c r="C75" s="122" t="s">
        <v>26</v>
      </c>
      <c r="D75" s="123">
        <v>1</v>
      </c>
      <c r="E75" s="128" t="s">
        <v>23</v>
      </c>
      <c r="F75" s="132">
        <v>74.5</v>
      </c>
      <c r="G75" s="125">
        <f>F75*60</f>
        <v>4470</v>
      </c>
    </row>
    <row r="76" spans="1:7" x14ac:dyDescent="0.2">
      <c r="A76" s="35"/>
      <c r="B76" s="35"/>
      <c r="C76" s="35"/>
      <c r="D76" s="35"/>
      <c r="E76" s="35"/>
      <c r="F76" s="35"/>
      <c r="G76" s="35"/>
    </row>
    <row r="77" spans="1:7" ht="15" x14ac:dyDescent="0.2">
      <c r="A77" s="153" t="s">
        <v>75</v>
      </c>
      <c r="B77" s="153"/>
      <c r="C77" s="18"/>
      <c r="D77" s="18"/>
      <c r="E77" s="18"/>
      <c r="F77" s="18"/>
      <c r="G77" s="18"/>
    </row>
    <row r="78" spans="1:7" x14ac:dyDescent="0.2">
      <c r="A78" s="12" t="s">
        <v>1</v>
      </c>
      <c r="B78" s="11" t="s">
        <v>2</v>
      </c>
      <c r="C78" s="12" t="s">
        <v>3</v>
      </c>
      <c r="D78" s="11" t="s">
        <v>4</v>
      </c>
      <c r="E78" s="11" t="s">
        <v>5</v>
      </c>
      <c r="F78" s="11"/>
      <c r="G78" s="11" t="s">
        <v>6</v>
      </c>
    </row>
    <row r="79" spans="1:7" x14ac:dyDescent="0.2">
      <c r="A79" s="85">
        <v>9808</v>
      </c>
      <c r="B79" s="86" t="s">
        <v>54</v>
      </c>
      <c r="C79" s="85" t="s">
        <v>56</v>
      </c>
      <c r="D79" s="89">
        <v>1</v>
      </c>
      <c r="E79" s="89"/>
      <c r="F79" s="87">
        <v>58.3</v>
      </c>
      <c r="G79" s="87">
        <f>D79*F79</f>
        <v>58.3</v>
      </c>
    </row>
    <row r="80" spans="1:7" x14ac:dyDescent="0.2">
      <c r="A80" s="89"/>
      <c r="B80" s="89"/>
      <c r="C80" s="89"/>
      <c r="D80" s="86">
        <v>12</v>
      </c>
      <c r="E80" s="86"/>
      <c r="F80" s="87">
        <v>53.3</v>
      </c>
      <c r="G80" s="88">
        <f>F80*D80</f>
        <v>639.59999999999991</v>
      </c>
    </row>
    <row r="81" spans="1:7" x14ac:dyDescent="0.2">
      <c r="A81" s="85"/>
      <c r="B81" s="86"/>
      <c r="C81" s="85"/>
      <c r="D81" s="86">
        <v>24</v>
      </c>
      <c r="E81" s="86"/>
      <c r="F81" s="87">
        <v>50.5</v>
      </c>
      <c r="G81" s="88">
        <f>F81*D81</f>
        <v>1212</v>
      </c>
    </row>
    <row r="82" spans="1:7" x14ac:dyDescent="0.2">
      <c r="A82" s="85"/>
      <c r="B82" s="86"/>
      <c r="C82" s="85"/>
      <c r="D82" s="86">
        <v>48</v>
      </c>
      <c r="E82" s="86"/>
      <c r="F82" s="87">
        <v>48.2</v>
      </c>
      <c r="G82" s="88">
        <f>F82*D82</f>
        <v>2313.6000000000004</v>
      </c>
    </row>
    <row r="83" spans="1:7" x14ac:dyDescent="0.2">
      <c r="A83" s="122">
        <v>9174</v>
      </c>
      <c r="B83" s="123" t="s">
        <v>14</v>
      </c>
      <c r="C83" s="122" t="s">
        <v>11</v>
      </c>
      <c r="D83" s="123">
        <v>1</v>
      </c>
      <c r="E83" s="123"/>
      <c r="F83" s="132">
        <v>40.9</v>
      </c>
      <c r="G83" s="125">
        <f t="shared" ref="G83:G89" si="2">D83*F83</f>
        <v>40.9</v>
      </c>
    </row>
    <row r="84" spans="1:7" x14ac:dyDescent="0.2">
      <c r="A84" s="122"/>
      <c r="B84" s="123"/>
      <c r="C84" s="122"/>
      <c r="D84" s="123">
        <v>12</v>
      </c>
      <c r="E84" s="123"/>
      <c r="F84" s="132">
        <v>37.4</v>
      </c>
      <c r="G84" s="125">
        <f t="shared" si="2"/>
        <v>448.79999999999995</v>
      </c>
    </row>
    <row r="85" spans="1:7" x14ac:dyDescent="0.2">
      <c r="A85" s="122"/>
      <c r="B85" s="123"/>
      <c r="C85" s="122"/>
      <c r="D85" s="123">
        <v>24</v>
      </c>
      <c r="E85" s="123"/>
      <c r="F85" s="132">
        <v>35.6</v>
      </c>
      <c r="G85" s="125">
        <f t="shared" si="2"/>
        <v>854.40000000000009</v>
      </c>
    </row>
    <row r="86" spans="1:7" x14ac:dyDescent="0.2">
      <c r="A86" s="122"/>
      <c r="B86" s="123"/>
      <c r="C86" s="122"/>
      <c r="D86" s="123">
        <v>48</v>
      </c>
      <c r="E86" s="128"/>
      <c r="F86" s="132">
        <v>33.799999999999997</v>
      </c>
      <c r="G86" s="125">
        <f t="shared" si="2"/>
        <v>1622.3999999999999</v>
      </c>
    </row>
    <row r="87" spans="1:7" x14ac:dyDescent="0.2">
      <c r="A87" s="85">
        <v>9156</v>
      </c>
      <c r="B87" s="86" t="s">
        <v>15</v>
      </c>
      <c r="C87" s="85" t="s">
        <v>57</v>
      </c>
      <c r="D87" s="89">
        <v>6</v>
      </c>
      <c r="E87" s="96" t="s">
        <v>23</v>
      </c>
      <c r="F87" s="87">
        <v>110.6</v>
      </c>
      <c r="G87" s="88">
        <f t="shared" si="2"/>
        <v>663.59999999999991</v>
      </c>
    </row>
    <row r="88" spans="1:7" x14ac:dyDescent="0.2">
      <c r="A88" s="85"/>
      <c r="B88" s="86"/>
      <c r="C88" s="85"/>
      <c r="D88" s="89">
        <v>12</v>
      </c>
      <c r="E88" s="96" t="s">
        <v>23</v>
      </c>
      <c r="F88" s="87">
        <v>105.4</v>
      </c>
      <c r="G88" s="88">
        <f t="shared" si="2"/>
        <v>1264.8000000000002</v>
      </c>
    </row>
    <row r="89" spans="1:7" x14ac:dyDescent="0.2">
      <c r="A89" s="85"/>
      <c r="B89" s="86"/>
      <c r="C89" s="85"/>
      <c r="D89" s="89">
        <v>24</v>
      </c>
      <c r="E89" s="96" t="s">
        <v>23</v>
      </c>
      <c r="F89" s="87">
        <v>99.9</v>
      </c>
      <c r="G89" s="88">
        <f t="shared" si="2"/>
        <v>2397.6000000000004</v>
      </c>
    </row>
    <row r="90" spans="1:7" x14ac:dyDescent="0.2">
      <c r="A90" s="122">
        <v>9159</v>
      </c>
      <c r="B90" s="123" t="s">
        <v>58</v>
      </c>
      <c r="C90" s="122" t="s">
        <v>59</v>
      </c>
      <c r="D90" s="123">
        <v>1</v>
      </c>
      <c r="E90" s="128"/>
      <c r="F90" s="132">
        <v>98.4</v>
      </c>
      <c r="G90" s="125">
        <f>F90*13</f>
        <v>1279.2</v>
      </c>
    </row>
    <row r="91" spans="1:7" x14ac:dyDescent="0.2">
      <c r="A91" s="85">
        <v>9161</v>
      </c>
      <c r="B91" s="86" t="s">
        <v>37</v>
      </c>
      <c r="C91" s="85" t="s">
        <v>26</v>
      </c>
      <c r="D91" s="86">
        <v>1</v>
      </c>
      <c r="E91" s="96" t="s">
        <v>23</v>
      </c>
      <c r="F91" s="87">
        <v>95.9</v>
      </c>
      <c r="G91" s="90">
        <f>F91*30</f>
        <v>2877</v>
      </c>
    </row>
    <row r="92" spans="1:7" x14ac:dyDescent="0.2">
      <c r="A92" s="122">
        <v>9162</v>
      </c>
      <c r="B92" s="123" t="s">
        <v>38</v>
      </c>
      <c r="C92" s="122" t="s">
        <v>26</v>
      </c>
      <c r="D92" s="123">
        <v>1</v>
      </c>
      <c r="E92" s="128" t="s">
        <v>23</v>
      </c>
      <c r="F92" s="132">
        <v>94.4</v>
      </c>
      <c r="G92" s="125">
        <f>F92*60</f>
        <v>5664</v>
      </c>
    </row>
    <row r="93" spans="1:7" x14ac:dyDescent="0.2">
      <c r="C93" s="1"/>
    </row>
    <row r="94" spans="1:7" ht="15" x14ac:dyDescent="0.2">
      <c r="A94" s="153" t="s">
        <v>76</v>
      </c>
      <c r="B94" s="153"/>
      <c r="C94" s="18"/>
      <c r="D94" s="18"/>
      <c r="E94" s="18"/>
      <c r="F94" s="18"/>
      <c r="G94" s="18"/>
    </row>
    <row r="95" spans="1:7" x14ac:dyDescent="0.2">
      <c r="A95" s="12" t="s">
        <v>1</v>
      </c>
      <c r="B95" s="11" t="s">
        <v>2</v>
      </c>
      <c r="C95" s="12" t="s">
        <v>3</v>
      </c>
      <c r="D95" s="11" t="s">
        <v>4</v>
      </c>
      <c r="E95" s="11" t="s">
        <v>5</v>
      </c>
      <c r="F95" s="11"/>
      <c r="G95" s="11" t="s">
        <v>6</v>
      </c>
    </row>
    <row r="96" spans="1:7" x14ac:dyDescent="0.2">
      <c r="A96" s="85">
        <v>8830</v>
      </c>
      <c r="B96" s="86" t="s">
        <v>77</v>
      </c>
      <c r="C96" s="85" t="s">
        <v>49</v>
      </c>
      <c r="D96" s="86">
        <v>1</v>
      </c>
      <c r="E96" s="86"/>
      <c r="F96" s="87">
        <v>163.30000000000001</v>
      </c>
      <c r="G96" s="88">
        <f t="shared" ref="G96:G107" si="3">D96*F96</f>
        <v>163.30000000000001</v>
      </c>
    </row>
    <row r="97" spans="1:7" x14ac:dyDescent="0.2">
      <c r="A97" s="92"/>
      <c r="B97" s="92"/>
      <c r="C97" s="92"/>
      <c r="D97" s="86">
        <v>12</v>
      </c>
      <c r="E97" s="96" t="s">
        <v>23</v>
      </c>
      <c r="F97" s="87">
        <v>148.6</v>
      </c>
      <c r="G97" s="88">
        <f t="shared" si="3"/>
        <v>1783.1999999999998</v>
      </c>
    </row>
    <row r="98" spans="1:7" x14ac:dyDescent="0.2">
      <c r="A98" s="92"/>
      <c r="B98" s="92"/>
      <c r="C98" s="92"/>
      <c r="D98" s="86">
        <v>24</v>
      </c>
      <c r="E98" s="96" t="s">
        <v>23</v>
      </c>
      <c r="F98" s="87">
        <v>141.30000000000001</v>
      </c>
      <c r="G98" s="88">
        <f t="shared" si="3"/>
        <v>3391.2000000000003</v>
      </c>
    </row>
    <row r="99" spans="1:7" x14ac:dyDescent="0.2">
      <c r="A99" s="92"/>
      <c r="B99" s="92"/>
      <c r="C99" s="92"/>
      <c r="D99" s="86">
        <v>48</v>
      </c>
      <c r="E99" s="96" t="s">
        <v>23</v>
      </c>
      <c r="F99" s="87">
        <v>134.30000000000001</v>
      </c>
      <c r="G99" s="88">
        <f t="shared" si="3"/>
        <v>6446.4000000000005</v>
      </c>
    </row>
    <row r="100" spans="1:7" x14ac:dyDescent="0.2">
      <c r="A100" s="122">
        <v>6738</v>
      </c>
      <c r="B100" s="123" t="s">
        <v>78</v>
      </c>
      <c r="C100" s="122" t="s">
        <v>56</v>
      </c>
      <c r="D100" s="124">
        <v>1</v>
      </c>
      <c r="E100" s="124"/>
      <c r="F100" s="132">
        <v>830.2</v>
      </c>
      <c r="G100" s="132">
        <f t="shared" si="3"/>
        <v>830.2</v>
      </c>
    </row>
    <row r="101" spans="1:7" x14ac:dyDescent="0.2">
      <c r="A101" s="124"/>
      <c r="B101" s="124"/>
      <c r="C101" s="124"/>
      <c r="D101" s="123">
        <v>12</v>
      </c>
      <c r="E101" s="128" t="s">
        <v>23</v>
      </c>
      <c r="F101" s="132">
        <v>753.2</v>
      </c>
      <c r="G101" s="125">
        <f t="shared" si="3"/>
        <v>9038.4000000000015</v>
      </c>
    </row>
    <row r="102" spans="1:7" x14ac:dyDescent="0.2">
      <c r="A102" s="124"/>
      <c r="B102" s="124"/>
      <c r="C102" s="122"/>
      <c r="D102" s="124">
        <v>24</v>
      </c>
      <c r="E102" s="128" t="s">
        <v>23</v>
      </c>
      <c r="F102" s="132">
        <v>715.5</v>
      </c>
      <c r="G102" s="125">
        <f t="shared" si="3"/>
        <v>17172</v>
      </c>
    </row>
    <row r="103" spans="1:7" x14ac:dyDescent="0.2">
      <c r="A103" s="124"/>
      <c r="B103" s="124"/>
      <c r="C103" s="122"/>
      <c r="D103" s="124">
        <v>48</v>
      </c>
      <c r="E103" s="128" t="s">
        <v>23</v>
      </c>
      <c r="F103" s="132">
        <v>679.7</v>
      </c>
      <c r="G103" s="125">
        <f t="shared" si="3"/>
        <v>32625.600000000002</v>
      </c>
    </row>
    <row r="104" spans="1:7" x14ac:dyDescent="0.2">
      <c r="A104" s="85">
        <v>8541</v>
      </c>
      <c r="B104" s="86" t="s">
        <v>79</v>
      </c>
      <c r="C104" s="85" t="s">
        <v>57</v>
      </c>
      <c r="D104" s="89">
        <v>1</v>
      </c>
      <c r="E104" s="89"/>
      <c r="F104" s="87">
        <v>899.1</v>
      </c>
      <c r="G104" s="88">
        <f t="shared" si="3"/>
        <v>899.1</v>
      </c>
    </row>
    <row r="105" spans="1:7" x14ac:dyDescent="0.2">
      <c r="A105" s="91"/>
      <c r="B105" s="93"/>
      <c r="C105" s="91"/>
      <c r="D105" s="89">
        <v>6</v>
      </c>
      <c r="E105" s="96" t="s">
        <v>23</v>
      </c>
      <c r="F105" s="87">
        <v>854.1</v>
      </c>
      <c r="G105" s="88">
        <f t="shared" si="3"/>
        <v>5124.6000000000004</v>
      </c>
    </row>
    <row r="106" spans="1:7" x14ac:dyDescent="0.2">
      <c r="A106" s="91"/>
      <c r="B106" s="93"/>
      <c r="C106" s="91"/>
      <c r="D106" s="89">
        <v>12</v>
      </c>
      <c r="E106" s="96" t="s">
        <v>23</v>
      </c>
      <c r="F106" s="87">
        <v>811.4</v>
      </c>
      <c r="G106" s="88">
        <f t="shared" si="3"/>
        <v>9736.7999999999993</v>
      </c>
    </row>
    <row r="107" spans="1:7" x14ac:dyDescent="0.2">
      <c r="A107" s="91"/>
      <c r="B107" s="93"/>
      <c r="C107" s="91"/>
      <c r="D107" s="89">
        <v>24</v>
      </c>
      <c r="E107" s="96" t="s">
        <v>23</v>
      </c>
      <c r="F107" s="87">
        <v>770.8</v>
      </c>
      <c r="G107" s="88">
        <f t="shared" si="3"/>
        <v>18499.199999999997</v>
      </c>
    </row>
    <row r="108" spans="1:7" x14ac:dyDescent="0.2">
      <c r="A108" s="122">
        <v>8829</v>
      </c>
      <c r="B108" s="123" t="s">
        <v>598</v>
      </c>
      <c r="C108" s="122" t="s">
        <v>59</v>
      </c>
      <c r="D108" s="124">
        <v>1</v>
      </c>
      <c r="E108" s="124"/>
      <c r="F108" s="132">
        <v>735.1</v>
      </c>
      <c r="G108" s="135">
        <f>20*F108</f>
        <v>14702</v>
      </c>
    </row>
    <row r="109" spans="1:7" x14ac:dyDescent="0.2">
      <c r="C109" s="1"/>
    </row>
    <row r="110" spans="1:7" ht="15" x14ac:dyDescent="0.2">
      <c r="A110" s="224" t="s">
        <v>80</v>
      </c>
      <c r="B110" s="224"/>
      <c r="C110" s="18"/>
      <c r="D110" s="18"/>
      <c r="E110" s="18"/>
      <c r="F110" s="18"/>
      <c r="G110" s="18"/>
    </row>
    <row r="111" spans="1:7" x14ac:dyDescent="0.2">
      <c r="A111" s="12" t="s">
        <v>1</v>
      </c>
      <c r="B111" s="11" t="s">
        <v>2</v>
      </c>
      <c r="C111" s="12" t="s">
        <v>3</v>
      </c>
      <c r="D111" s="11" t="s">
        <v>4</v>
      </c>
      <c r="E111" s="225" t="s">
        <v>5</v>
      </c>
      <c r="F111" s="225"/>
      <c r="G111" s="11" t="s">
        <v>6</v>
      </c>
    </row>
    <row r="112" spans="1:7" x14ac:dyDescent="0.2">
      <c r="A112" s="85">
        <v>8547</v>
      </c>
      <c r="B112" s="86" t="s">
        <v>54</v>
      </c>
      <c r="C112" s="85" t="s">
        <v>55</v>
      </c>
      <c r="D112" s="86">
        <v>1</v>
      </c>
      <c r="E112" s="86"/>
      <c r="F112" s="87">
        <v>40</v>
      </c>
      <c r="G112" s="88">
        <f>D112*F112</f>
        <v>40</v>
      </c>
    </row>
    <row r="113" spans="1:7" x14ac:dyDescent="0.2">
      <c r="A113" s="85"/>
      <c r="B113" s="86"/>
      <c r="C113" s="85"/>
      <c r="D113" s="86">
        <v>12</v>
      </c>
      <c r="E113" s="86"/>
      <c r="F113" s="87">
        <v>37.9</v>
      </c>
      <c r="G113" s="88">
        <f>D113*F113</f>
        <v>454.79999999999995</v>
      </c>
    </row>
    <row r="114" spans="1:7" x14ac:dyDescent="0.2">
      <c r="A114" s="85"/>
      <c r="B114" s="86"/>
      <c r="C114" s="85"/>
      <c r="D114" s="86">
        <v>24</v>
      </c>
      <c r="E114" s="86"/>
      <c r="F114" s="87">
        <v>36.200000000000003</v>
      </c>
      <c r="G114" s="88">
        <f>D114*F114</f>
        <v>868.80000000000007</v>
      </c>
    </row>
    <row r="115" spans="1:7" x14ac:dyDescent="0.2">
      <c r="A115" s="85"/>
      <c r="B115" s="86"/>
      <c r="C115" s="85"/>
      <c r="D115" s="86">
        <v>48</v>
      </c>
      <c r="E115" s="86"/>
      <c r="F115" s="87">
        <v>34.6</v>
      </c>
      <c r="G115" s="88">
        <f>D115*F115</f>
        <v>1660.8000000000002</v>
      </c>
    </row>
    <row r="116" spans="1:7" x14ac:dyDescent="0.2">
      <c r="A116" s="122">
        <v>9823</v>
      </c>
      <c r="B116" s="123" t="s">
        <v>54</v>
      </c>
      <c r="C116" s="122" t="s">
        <v>56</v>
      </c>
      <c r="D116" s="124">
        <v>1</v>
      </c>
      <c r="E116" s="124"/>
      <c r="F116" s="132">
        <v>40</v>
      </c>
      <c r="G116" s="132">
        <f>D116*F116</f>
        <v>40</v>
      </c>
    </row>
    <row r="117" spans="1:7" x14ac:dyDescent="0.2">
      <c r="A117" s="124"/>
      <c r="B117" s="124"/>
      <c r="C117" s="124"/>
      <c r="D117" s="123">
        <v>12</v>
      </c>
      <c r="E117" s="123"/>
      <c r="F117" s="132">
        <v>37.9</v>
      </c>
      <c r="G117" s="125">
        <f>F117*D117</f>
        <v>454.79999999999995</v>
      </c>
    </row>
    <row r="118" spans="1:7" x14ac:dyDescent="0.2">
      <c r="A118" s="122"/>
      <c r="B118" s="123"/>
      <c r="C118" s="122"/>
      <c r="D118" s="123">
        <v>24</v>
      </c>
      <c r="E118" s="123"/>
      <c r="F118" s="132">
        <v>36.200000000000003</v>
      </c>
      <c r="G118" s="125">
        <f>F118*D118</f>
        <v>868.80000000000007</v>
      </c>
    </row>
    <row r="119" spans="1:7" x14ac:dyDescent="0.2">
      <c r="A119" s="122"/>
      <c r="B119" s="123"/>
      <c r="C119" s="122"/>
      <c r="D119" s="123">
        <v>48</v>
      </c>
      <c r="E119" s="123"/>
      <c r="F119" s="132">
        <v>34.6</v>
      </c>
      <c r="G119" s="125">
        <f>F119*D119</f>
        <v>1660.8000000000002</v>
      </c>
    </row>
    <row r="120" spans="1:7" x14ac:dyDescent="0.2">
      <c r="A120" s="85">
        <v>8736</v>
      </c>
      <c r="B120" s="86" t="s">
        <v>15</v>
      </c>
      <c r="C120" s="85" t="s">
        <v>57</v>
      </c>
      <c r="D120" s="89">
        <v>1</v>
      </c>
      <c r="E120" s="96"/>
      <c r="F120" s="87">
        <v>102.8</v>
      </c>
      <c r="G120" s="88">
        <f>D120*F120</f>
        <v>102.8</v>
      </c>
    </row>
    <row r="121" spans="1:7" x14ac:dyDescent="0.2">
      <c r="A121" s="85"/>
      <c r="B121" s="86"/>
      <c r="C121" s="85"/>
      <c r="D121" s="89">
        <v>6</v>
      </c>
      <c r="E121" s="96"/>
      <c r="F121" s="87">
        <v>94</v>
      </c>
      <c r="G121" s="88">
        <f>D121*F121</f>
        <v>564</v>
      </c>
    </row>
    <row r="122" spans="1:7" x14ac:dyDescent="0.2">
      <c r="A122" s="85"/>
      <c r="B122" s="86"/>
      <c r="C122" s="85"/>
      <c r="D122" s="89">
        <v>12</v>
      </c>
      <c r="E122" s="96"/>
      <c r="F122" s="87">
        <v>89.4</v>
      </c>
      <c r="G122" s="88">
        <f>D122*F122</f>
        <v>1072.8000000000002</v>
      </c>
    </row>
    <row r="123" spans="1:7" x14ac:dyDescent="0.2">
      <c r="A123" s="85"/>
      <c r="B123" s="86"/>
      <c r="C123" s="85"/>
      <c r="D123" s="89">
        <v>24</v>
      </c>
      <c r="E123" s="96" t="s">
        <v>23</v>
      </c>
      <c r="F123" s="87">
        <v>84.9</v>
      </c>
      <c r="G123" s="88">
        <f>D123*F123</f>
        <v>2037.6000000000001</v>
      </c>
    </row>
    <row r="124" spans="1:7" x14ac:dyDescent="0.2">
      <c r="A124" s="122">
        <v>8735</v>
      </c>
      <c r="B124" s="123" t="s">
        <v>58</v>
      </c>
      <c r="C124" s="122" t="s">
        <v>59</v>
      </c>
      <c r="D124" s="123">
        <v>1</v>
      </c>
      <c r="E124" s="128"/>
      <c r="F124" s="132">
        <v>81.2</v>
      </c>
      <c r="G124" s="125">
        <f>F124*13</f>
        <v>1055.6000000000001</v>
      </c>
    </row>
    <row r="125" spans="1:7" x14ac:dyDescent="0.2">
      <c r="A125" s="85">
        <v>8549</v>
      </c>
      <c r="B125" s="86" t="s">
        <v>37</v>
      </c>
      <c r="C125" s="85" t="s">
        <v>26</v>
      </c>
      <c r="D125" s="86">
        <v>1</v>
      </c>
      <c r="E125" s="86"/>
      <c r="F125" s="87">
        <v>79.5</v>
      </c>
      <c r="G125" s="90">
        <f>F125*30</f>
        <v>2385</v>
      </c>
    </row>
    <row r="126" spans="1:7" x14ac:dyDescent="0.2">
      <c r="A126" s="122">
        <v>8550</v>
      </c>
      <c r="B126" s="123" t="s">
        <v>38</v>
      </c>
      <c r="C126" s="122" t="s">
        <v>26</v>
      </c>
      <c r="D126" s="123">
        <v>1</v>
      </c>
      <c r="E126" s="123"/>
      <c r="F126" s="132">
        <v>76.8</v>
      </c>
      <c r="G126" s="125">
        <f>F126*60</f>
        <v>4608</v>
      </c>
    </row>
    <row r="127" spans="1:7" x14ac:dyDescent="0.2">
      <c r="A127" s="85">
        <v>8658</v>
      </c>
      <c r="B127" s="86" t="s">
        <v>25</v>
      </c>
      <c r="C127" s="85" t="s">
        <v>26</v>
      </c>
      <c r="D127" s="86">
        <v>1</v>
      </c>
      <c r="E127" s="96" t="s">
        <v>23</v>
      </c>
      <c r="F127" s="87">
        <v>73.099999999999994</v>
      </c>
      <c r="G127" s="90">
        <f>F127*200</f>
        <v>14619.999999999998</v>
      </c>
    </row>
    <row r="129" spans="1:7" ht="15" x14ac:dyDescent="0.2">
      <c r="A129" s="224" t="s">
        <v>81</v>
      </c>
      <c r="B129" s="224"/>
      <c r="C129" s="18"/>
      <c r="D129" s="18"/>
      <c r="E129" s="18"/>
      <c r="F129" s="18"/>
      <c r="G129" s="18"/>
    </row>
    <row r="130" spans="1:7" x14ac:dyDescent="0.2">
      <c r="A130" s="12" t="s">
        <v>1</v>
      </c>
      <c r="B130" s="11" t="s">
        <v>2</v>
      </c>
      <c r="C130" s="12" t="s">
        <v>3</v>
      </c>
      <c r="D130" s="11" t="s">
        <v>4</v>
      </c>
      <c r="E130" s="11" t="s">
        <v>5</v>
      </c>
      <c r="F130" s="11"/>
      <c r="G130" s="11" t="s">
        <v>6</v>
      </c>
    </row>
    <row r="131" spans="1:7" x14ac:dyDescent="0.2">
      <c r="A131" s="85">
        <v>8038</v>
      </c>
      <c r="B131" s="86" t="s">
        <v>54</v>
      </c>
      <c r="C131" s="85" t="s">
        <v>55</v>
      </c>
      <c r="D131" s="86">
        <v>1</v>
      </c>
      <c r="E131" s="86"/>
      <c r="F131" s="87">
        <v>61.8</v>
      </c>
      <c r="G131" s="88">
        <f>D131*F131</f>
        <v>61.8</v>
      </c>
    </row>
    <row r="132" spans="1:7" x14ac:dyDescent="0.2">
      <c r="A132" s="85"/>
      <c r="B132" s="86"/>
      <c r="C132" s="85"/>
      <c r="D132" s="86">
        <v>12</v>
      </c>
      <c r="E132" s="86"/>
      <c r="F132" s="87">
        <v>58.7</v>
      </c>
      <c r="G132" s="88">
        <f>D132*F132</f>
        <v>704.40000000000009</v>
      </c>
    </row>
    <row r="133" spans="1:7" x14ac:dyDescent="0.2">
      <c r="A133" s="85"/>
      <c r="B133" s="86"/>
      <c r="C133" s="85"/>
      <c r="D133" s="86">
        <v>24</v>
      </c>
      <c r="E133" s="86"/>
      <c r="F133" s="87">
        <v>56.8</v>
      </c>
      <c r="G133" s="88">
        <f>D133*F133</f>
        <v>1363.1999999999998</v>
      </c>
    </row>
    <row r="134" spans="1:7" x14ac:dyDescent="0.2">
      <c r="A134" s="85"/>
      <c r="B134" s="86"/>
      <c r="C134" s="85"/>
      <c r="D134" s="86">
        <v>48</v>
      </c>
      <c r="E134" s="86"/>
      <c r="F134" s="87">
        <v>54.8</v>
      </c>
      <c r="G134" s="88">
        <f>D134*F134</f>
        <v>2630.3999999999996</v>
      </c>
    </row>
    <row r="135" spans="1:7" x14ac:dyDescent="0.2">
      <c r="A135" s="122">
        <v>6710</v>
      </c>
      <c r="B135" s="123" t="s">
        <v>54</v>
      </c>
      <c r="C135" s="122" t="s">
        <v>56</v>
      </c>
      <c r="D135" s="124">
        <v>1</v>
      </c>
      <c r="E135" s="124"/>
      <c r="F135" s="132">
        <v>61.8</v>
      </c>
      <c r="G135" s="132">
        <f>D135*F135</f>
        <v>61.8</v>
      </c>
    </row>
    <row r="136" spans="1:7" x14ac:dyDescent="0.2">
      <c r="A136" s="124"/>
      <c r="B136" s="124"/>
      <c r="C136" s="124"/>
      <c r="D136" s="123">
        <v>12</v>
      </c>
      <c r="E136" s="123"/>
      <c r="F136" s="132">
        <v>58.7</v>
      </c>
      <c r="G136" s="125">
        <f>F136*D136</f>
        <v>704.40000000000009</v>
      </c>
    </row>
    <row r="137" spans="1:7" x14ac:dyDescent="0.2">
      <c r="A137" s="122"/>
      <c r="B137" s="123"/>
      <c r="C137" s="122"/>
      <c r="D137" s="123">
        <v>24</v>
      </c>
      <c r="E137" s="123"/>
      <c r="F137" s="132">
        <v>56.8</v>
      </c>
      <c r="G137" s="125">
        <f>F137*D137</f>
        <v>1363.1999999999998</v>
      </c>
    </row>
    <row r="138" spans="1:7" x14ac:dyDescent="0.2">
      <c r="A138" s="122"/>
      <c r="B138" s="123"/>
      <c r="C138" s="122"/>
      <c r="D138" s="123">
        <v>48</v>
      </c>
      <c r="E138" s="128"/>
      <c r="F138" s="132">
        <v>54.8</v>
      </c>
      <c r="G138" s="125">
        <f>F138*D138</f>
        <v>2630.3999999999996</v>
      </c>
    </row>
    <row r="139" spans="1:7" x14ac:dyDescent="0.2">
      <c r="A139" s="85">
        <v>8385</v>
      </c>
      <c r="B139" s="86" t="s">
        <v>15</v>
      </c>
      <c r="C139" s="85" t="s">
        <v>57</v>
      </c>
      <c r="D139" s="86">
        <v>6</v>
      </c>
      <c r="E139" s="96" t="s">
        <v>23</v>
      </c>
      <c r="F139" s="87">
        <v>107.5</v>
      </c>
      <c r="G139" s="88">
        <f>D139*F139</f>
        <v>645</v>
      </c>
    </row>
    <row r="140" spans="1:7" x14ac:dyDescent="0.2">
      <c r="A140" s="85"/>
      <c r="B140" s="86"/>
      <c r="C140" s="85"/>
      <c r="D140" s="86">
        <v>12</v>
      </c>
      <c r="E140" s="96" t="s">
        <v>23</v>
      </c>
      <c r="F140" s="87">
        <v>102.4</v>
      </c>
      <c r="G140" s="88">
        <f t="shared" ref="G140:G141" si="4">D140*F140</f>
        <v>1228.8000000000002</v>
      </c>
    </row>
    <row r="141" spans="1:7" x14ac:dyDescent="0.2">
      <c r="A141" s="85"/>
      <c r="B141" s="86"/>
      <c r="C141" s="85"/>
      <c r="D141" s="86">
        <v>24</v>
      </c>
      <c r="E141" s="96" t="s">
        <v>23</v>
      </c>
      <c r="F141" s="87">
        <v>97.2</v>
      </c>
      <c r="G141" s="88">
        <f t="shared" si="4"/>
        <v>2332.8000000000002</v>
      </c>
    </row>
    <row r="142" spans="1:7" x14ac:dyDescent="0.2">
      <c r="A142" s="122">
        <v>8821</v>
      </c>
      <c r="B142" s="123" t="s">
        <v>58</v>
      </c>
      <c r="C142" s="122" t="s">
        <v>59</v>
      </c>
      <c r="D142" s="123">
        <v>1</v>
      </c>
      <c r="E142" s="123"/>
      <c r="F142" s="132">
        <v>106.2</v>
      </c>
      <c r="G142" s="125">
        <f>F142*13</f>
        <v>1380.6000000000001</v>
      </c>
    </row>
    <row r="143" spans="1:7" x14ac:dyDescent="0.2">
      <c r="A143" s="85">
        <v>8386</v>
      </c>
      <c r="B143" s="86" t="s">
        <v>37</v>
      </c>
      <c r="C143" s="85" t="s">
        <v>26</v>
      </c>
      <c r="D143" s="89">
        <v>1</v>
      </c>
      <c r="E143" s="89"/>
      <c r="F143" s="87">
        <v>96.7</v>
      </c>
      <c r="G143" s="90">
        <f>F143*30</f>
        <v>2901</v>
      </c>
    </row>
    <row r="144" spans="1:7" x14ac:dyDescent="0.2">
      <c r="A144" s="122">
        <v>8042</v>
      </c>
      <c r="B144" s="123" t="s">
        <v>38</v>
      </c>
      <c r="C144" s="122" t="s">
        <v>26</v>
      </c>
      <c r="D144" s="123">
        <v>1</v>
      </c>
      <c r="E144" s="128" t="s">
        <v>23</v>
      </c>
      <c r="F144" s="132">
        <v>87.8</v>
      </c>
      <c r="G144" s="125">
        <f>F144*60</f>
        <v>5268</v>
      </c>
    </row>
    <row r="145" spans="1:7" x14ac:dyDescent="0.2">
      <c r="A145" s="85">
        <v>8713</v>
      </c>
      <c r="B145" s="86" t="s">
        <v>25</v>
      </c>
      <c r="C145" s="85" t="s">
        <v>26</v>
      </c>
      <c r="D145" s="86">
        <v>1</v>
      </c>
      <c r="E145" s="96" t="s">
        <v>23</v>
      </c>
      <c r="F145" s="87">
        <v>84.3</v>
      </c>
      <c r="G145" s="88">
        <f>F145*200</f>
        <v>16860</v>
      </c>
    </row>
    <row r="146" spans="1:7" x14ac:dyDescent="0.2">
      <c r="A146" s="3"/>
      <c r="B146" s="2"/>
      <c r="D146" s="2"/>
      <c r="E146" s="2"/>
      <c r="F146" s="6"/>
      <c r="G146" s="4"/>
    </row>
    <row r="147" spans="1:7" ht="15" x14ac:dyDescent="0.2">
      <c r="A147" s="153" t="s">
        <v>82</v>
      </c>
      <c r="B147" s="153"/>
      <c r="C147" s="18"/>
      <c r="D147" s="18"/>
      <c r="E147" s="18"/>
      <c r="F147" s="18"/>
      <c r="G147" s="18"/>
    </row>
    <row r="148" spans="1:7" x14ac:dyDescent="0.2">
      <c r="A148" s="12" t="s">
        <v>1</v>
      </c>
      <c r="B148" s="11" t="s">
        <v>2</v>
      </c>
      <c r="C148" s="12" t="s">
        <v>3</v>
      </c>
      <c r="D148" s="11" t="s">
        <v>4</v>
      </c>
      <c r="E148" s="11" t="s">
        <v>5</v>
      </c>
      <c r="F148" s="11"/>
      <c r="G148" s="11" t="s">
        <v>6</v>
      </c>
    </row>
    <row r="149" spans="1:7" x14ac:dyDescent="0.2">
      <c r="A149" s="85">
        <v>9845</v>
      </c>
      <c r="B149" s="86" t="s">
        <v>54</v>
      </c>
      <c r="C149" s="85" t="s">
        <v>56</v>
      </c>
      <c r="D149" s="86">
        <v>1</v>
      </c>
      <c r="E149" s="96"/>
      <c r="F149" s="87">
        <v>57.3</v>
      </c>
      <c r="G149" s="88">
        <f>F149*D149</f>
        <v>57.3</v>
      </c>
    </row>
    <row r="150" spans="1:7" x14ac:dyDescent="0.2">
      <c r="A150" s="89"/>
      <c r="B150" s="89"/>
      <c r="C150" s="89"/>
      <c r="D150" s="86">
        <v>12</v>
      </c>
      <c r="E150" s="96"/>
      <c r="F150" s="87">
        <v>52.3</v>
      </c>
      <c r="G150" s="88">
        <f>F150*D150</f>
        <v>627.59999999999991</v>
      </c>
    </row>
    <row r="151" spans="1:7" x14ac:dyDescent="0.2">
      <c r="A151" s="89"/>
      <c r="B151" s="89"/>
      <c r="C151" s="89"/>
      <c r="D151" s="86">
        <v>24</v>
      </c>
      <c r="E151" s="96" t="s">
        <v>23</v>
      </c>
      <c r="F151" s="87">
        <v>49.9</v>
      </c>
      <c r="G151" s="88">
        <f>F151*D151</f>
        <v>1197.5999999999999</v>
      </c>
    </row>
    <row r="152" spans="1:7" x14ac:dyDescent="0.2">
      <c r="A152" s="85"/>
      <c r="B152" s="86"/>
      <c r="C152" s="85"/>
      <c r="D152" s="86">
        <v>48</v>
      </c>
      <c r="E152" s="96" t="s">
        <v>23</v>
      </c>
      <c r="F152" s="87">
        <v>47.4</v>
      </c>
      <c r="G152" s="88">
        <f>F152*D152</f>
        <v>2275.1999999999998</v>
      </c>
    </row>
    <row r="153" spans="1:7" x14ac:dyDescent="0.2">
      <c r="A153" s="122">
        <v>9847</v>
      </c>
      <c r="B153" s="123" t="s">
        <v>15</v>
      </c>
      <c r="C153" s="122" t="s">
        <v>57</v>
      </c>
      <c r="D153" s="124">
        <v>1</v>
      </c>
      <c r="E153" s="128"/>
      <c r="F153" s="132">
        <v>126.8</v>
      </c>
      <c r="G153" s="125">
        <f>D153*F153</f>
        <v>126.8</v>
      </c>
    </row>
    <row r="154" spans="1:7" x14ac:dyDescent="0.2">
      <c r="A154" s="122"/>
      <c r="B154" s="123"/>
      <c r="C154" s="122"/>
      <c r="D154" s="124">
        <v>6</v>
      </c>
      <c r="E154" s="128" t="s">
        <v>23</v>
      </c>
      <c r="F154" s="132">
        <v>115.7</v>
      </c>
      <c r="G154" s="125">
        <f>D154*F154</f>
        <v>694.2</v>
      </c>
    </row>
    <row r="155" spans="1:7" x14ac:dyDescent="0.2">
      <c r="A155" s="122"/>
      <c r="B155" s="123"/>
      <c r="C155" s="122"/>
      <c r="D155" s="124">
        <v>12</v>
      </c>
      <c r="E155" s="128" t="s">
        <v>23</v>
      </c>
      <c r="F155" s="132">
        <v>110.2</v>
      </c>
      <c r="G155" s="125">
        <f>D155*F155</f>
        <v>1322.4</v>
      </c>
    </row>
    <row r="156" spans="1:7" x14ac:dyDescent="0.2">
      <c r="A156" s="122"/>
      <c r="B156" s="123"/>
      <c r="C156" s="122"/>
      <c r="D156" s="124">
        <v>24</v>
      </c>
      <c r="E156" s="128" t="s">
        <v>23</v>
      </c>
      <c r="F156" s="132">
        <v>104.7</v>
      </c>
      <c r="G156" s="125">
        <f>D156*F156</f>
        <v>2512.8000000000002</v>
      </c>
    </row>
    <row r="157" spans="1:7" x14ac:dyDescent="0.2">
      <c r="A157" s="85">
        <v>9849</v>
      </c>
      <c r="B157" s="86" t="s">
        <v>58</v>
      </c>
      <c r="C157" s="85" t="s">
        <v>59</v>
      </c>
      <c r="D157" s="86">
        <v>1</v>
      </c>
      <c r="E157" s="96" t="s">
        <v>23</v>
      </c>
      <c r="F157" s="87">
        <v>95.9</v>
      </c>
      <c r="G157" s="88">
        <f>F157*13</f>
        <v>1246.7</v>
      </c>
    </row>
    <row r="158" spans="1:7" x14ac:dyDescent="0.2">
      <c r="A158" s="122">
        <v>9850</v>
      </c>
      <c r="B158" s="123" t="s">
        <v>37</v>
      </c>
      <c r="C158" s="122" t="s">
        <v>26</v>
      </c>
      <c r="D158" s="123">
        <v>1</v>
      </c>
      <c r="E158" s="128" t="s">
        <v>23</v>
      </c>
      <c r="F158" s="132">
        <v>88.1</v>
      </c>
      <c r="G158" s="135">
        <f>F158*30</f>
        <v>2643</v>
      </c>
    </row>
    <row r="159" spans="1:7" x14ac:dyDescent="0.2">
      <c r="A159" s="85">
        <v>9851</v>
      </c>
      <c r="B159" s="86" t="s">
        <v>38</v>
      </c>
      <c r="C159" s="85" t="s">
        <v>26</v>
      </c>
      <c r="D159" s="86">
        <v>1</v>
      </c>
      <c r="E159" s="96" t="s">
        <v>23</v>
      </c>
      <c r="F159" s="87">
        <v>82.4</v>
      </c>
      <c r="G159" s="88">
        <f>F159*60</f>
        <v>4944</v>
      </c>
    </row>
    <row r="160" spans="1:7" x14ac:dyDescent="0.2">
      <c r="A160" s="122">
        <v>9852</v>
      </c>
      <c r="B160" s="123" t="s">
        <v>25</v>
      </c>
      <c r="C160" s="122" t="s">
        <v>26</v>
      </c>
      <c r="D160" s="123">
        <v>1</v>
      </c>
      <c r="E160" s="128" t="s">
        <v>23</v>
      </c>
      <c r="F160" s="132">
        <v>76.5</v>
      </c>
      <c r="G160" s="135">
        <f>F160*200</f>
        <v>15300</v>
      </c>
    </row>
    <row r="161" spans="1:7" x14ac:dyDescent="0.2">
      <c r="A161" s="3"/>
      <c r="B161" s="2"/>
      <c r="D161" s="2"/>
      <c r="E161" s="151"/>
      <c r="F161" s="6"/>
      <c r="G161" s="5"/>
    </row>
    <row r="162" spans="1:7" ht="15" x14ac:dyDescent="0.2">
      <c r="A162" s="224" t="s">
        <v>83</v>
      </c>
      <c r="B162" s="224"/>
      <c r="C162" s="18"/>
      <c r="D162" s="18"/>
      <c r="E162" s="18"/>
      <c r="F162" s="18"/>
      <c r="G162" s="18"/>
    </row>
    <row r="163" spans="1:7" x14ac:dyDescent="0.2">
      <c r="A163" s="12" t="s">
        <v>1</v>
      </c>
      <c r="B163" s="11" t="s">
        <v>2</v>
      </c>
      <c r="C163" s="12" t="s">
        <v>3</v>
      </c>
      <c r="D163" s="11" t="s">
        <v>4</v>
      </c>
      <c r="E163" s="11" t="s">
        <v>5</v>
      </c>
      <c r="F163" s="11"/>
      <c r="G163" s="11" t="s">
        <v>6</v>
      </c>
    </row>
    <row r="164" spans="1:7" x14ac:dyDescent="0.2">
      <c r="A164" s="85">
        <v>9322</v>
      </c>
      <c r="B164" s="86" t="s">
        <v>54</v>
      </c>
      <c r="C164" s="85" t="s">
        <v>55</v>
      </c>
      <c r="D164" s="86">
        <v>1</v>
      </c>
      <c r="E164" s="96" t="s">
        <v>23</v>
      </c>
      <c r="F164" s="87">
        <v>59.2</v>
      </c>
      <c r="G164" s="88">
        <f>D164*F164</f>
        <v>59.2</v>
      </c>
    </row>
    <row r="165" spans="1:7" x14ac:dyDescent="0.2">
      <c r="A165" s="85"/>
      <c r="B165" s="86"/>
      <c r="C165" s="85"/>
      <c r="D165" s="86">
        <v>12</v>
      </c>
      <c r="E165" s="96" t="s">
        <v>23</v>
      </c>
      <c r="F165" s="87">
        <v>54.1</v>
      </c>
      <c r="G165" s="88">
        <f>D165*F165</f>
        <v>649.20000000000005</v>
      </c>
    </row>
    <row r="166" spans="1:7" x14ac:dyDescent="0.2">
      <c r="A166" s="85"/>
      <c r="B166" s="86"/>
      <c r="C166" s="85"/>
      <c r="D166" s="86">
        <v>24</v>
      </c>
      <c r="E166" s="96" t="s">
        <v>23</v>
      </c>
      <c r="F166" s="87">
        <v>51.5</v>
      </c>
      <c r="G166" s="88">
        <f>D166*F166</f>
        <v>1236</v>
      </c>
    </row>
    <row r="167" spans="1:7" x14ac:dyDescent="0.2">
      <c r="A167" s="85"/>
      <c r="B167" s="86"/>
      <c r="C167" s="85"/>
      <c r="D167" s="86">
        <v>48</v>
      </c>
      <c r="E167" s="96" t="s">
        <v>23</v>
      </c>
      <c r="F167" s="87">
        <v>48.9</v>
      </c>
      <c r="G167" s="88">
        <f>D167*F167</f>
        <v>2347.1999999999998</v>
      </c>
    </row>
    <row r="168" spans="1:7" x14ac:dyDescent="0.2">
      <c r="A168" s="122">
        <v>932001647</v>
      </c>
      <c r="B168" s="123" t="s">
        <v>54</v>
      </c>
      <c r="C168" s="122" t="s">
        <v>56</v>
      </c>
      <c r="D168" s="124">
        <v>1</v>
      </c>
      <c r="E168" s="128"/>
      <c r="F168" s="132">
        <v>59.2</v>
      </c>
      <c r="G168" s="132">
        <f>D168*F168</f>
        <v>59.2</v>
      </c>
    </row>
    <row r="169" spans="1:7" x14ac:dyDescent="0.2">
      <c r="A169" s="124"/>
      <c r="B169" s="124"/>
      <c r="C169" s="124"/>
      <c r="D169" s="123">
        <v>12</v>
      </c>
      <c r="E169" s="123"/>
      <c r="F169" s="132">
        <v>54.1</v>
      </c>
      <c r="G169" s="125">
        <f>F169*D169</f>
        <v>649.20000000000005</v>
      </c>
    </row>
    <row r="170" spans="1:7" x14ac:dyDescent="0.2">
      <c r="A170" s="122"/>
      <c r="B170" s="123"/>
      <c r="C170" s="122"/>
      <c r="D170" s="123">
        <v>24</v>
      </c>
      <c r="E170" s="128" t="s">
        <v>23</v>
      </c>
      <c r="F170" s="132">
        <v>51.5</v>
      </c>
      <c r="G170" s="125">
        <f>F170*D170</f>
        <v>1236</v>
      </c>
    </row>
    <row r="171" spans="1:7" x14ac:dyDescent="0.2">
      <c r="A171" s="122"/>
      <c r="B171" s="123"/>
      <c r="C171" s="122"/>
      <c r="D171" s="123">
        <v>48</v>
      </c>
      <c r="E171" s="128" t="s">
        <v>23</v>
      </c>
      <c r="F171" s="132">
        <v>48.9</v>
      </c>
      <c r="G171" s="125">
        <f>F171*D171</f>
        <v>2347.1999999999998</v>
      </c>
    </row>
    <row r="172" spans="1:7" ht="22.5" x14ac:dyDescent="0.2">
      <c r="A172" s="226"/>
      <c r="B172" s="226"/>
      <c r="C172" s="226"/>
      <c r="D172" s="226"/>
      <c r="E172" s="226"/>
      <c r="F172" s="226"/>
      <c r="G172" s="226"/>
    </row>
    <row r="173" spans="1:7" ht="15" x14ac:dyDescent="0.2">
      <c r="A173" s="224" t="s">
        <v>84</v>
      </c>
      <c r="B173" s="224"/>
      <c r="C173" s="18"/>
      <c r="D173" s="18"/>
      <c r="E173" s="18"/>
      <c r="F173" s="18"/>
      <c r="G173" s="18"/>
    </row>
    <row r="174" spans="1:7" x14ac:dyDescent="0.2">
      <c r="A174" s="12" t="s">
        <v>1</v>
      </c>
      <c r="B174" s="11" t="s">
        <v>2</v>
      </c>
      <c r="C174" s="12" t="s">
        <v>3</v>
      </c>
      <c r="D174" s="11" t="s">
        <v>4</v>
      </c>
      <c r="E174" s="225" t="s">
        <v>5</v>
      </c>
      <c r="F174" s="225"/>
      <c r="G174" s="11" t="s">
        <v>6</v>
      </c>
    </row>
    <row r="175" spans="1:7" x14ac:dyDescent="0.2">
      <c r="A175" s="85">
        <v>8873</v>
      </c>
      <c r="B175" s="86" t="s">
        <v>15</v>
      </c>
      <c r="C175" s="85" t="s">
        <v>57</v>
      </c>
      <c r="D175" s="89">
        <v>6</v>
      </c>
      <c r="E175" s="96" t="s">
        <v>23</v>
      </c>
      <c r="F175" s="87">
        <v>76.2</v>
      </c>
      <c r="G175" s="88">
        <f>D175*F175</f>
        <v>457.20000000000005</v>
      </c>
    </row>
    <row r="176" spans="1:7" x14ac:dyDescent="0.2">
      <c r="A176" s="85"/>
      <c r="B176" s="86"/>
      <c r="C176" s="85"/>
      <c r="D176" s="89">
        <v>12</v>
      </c>
      <c r="E176" s="96" t="s">
        <v>23</v>
      </c>
      <c r="F176" s="87">
        <v>72.599999999999994</v>
      </c>
      <c r="G176" s="88">
        <f>D176*F176</f>
        <v>871.19999999999993</v>
      </c>
    </row>
    <row r="177" spans="1:7" x14ac:dyDescent="0.2">
      <c r="A177" s="85"/>
      <c r="B177" s="86"/>
      <c r="C177" s="85"/>
      <c r="D177" s="89">
        <v>24</v>
      </c>
      <c r="E177" s="96" t="s">
        <v>23</v>
      </c>
      <c r="F177" s="87">
        <v>69.099999999999994</v>
      </c>
      <c r="G177" s="88">
        <f>D177*F177</f>
        <v>1658.3999999999999</v>
      </c>
    </row>
    <row r="178" spans="1:7" x14ac:dyDescent="0.2">
      <c r="A178" s="122">
        <v>8719</v>
      </c>
      <c r="B178" s="123" t="s">
        <v>58</v>
      </c>
      <c r="C178" s="122" t="s">
        <v>59</v>
      </c>
      <c r="D178" s="123">
        <v>1</v>
      </c>
      <c r="E178" s="123"/>
      <c r="F178" s="132">
        <v>61</v>
      </c>
      <c r="G178" s="125">
        <f>F178*13</f>
        <v>793</v>
      </c>
    </row>
    <row r="179" spans="1:7" x14ac:dyDescent="0.2">
      <c r="A179" s="85">
        <v>8420</v>
      </c>
      <c r="B179" s="86" t="s">
        <v>37</v>
      </c>
      <c r="C179" s="85" t="s">
        <v>26</v>
      </c>
      <c r="D179" s="86">
        <v>1</v>
      </c>
      <c r="E179" s="86"/>
      <c r="F179" s="87">
        <v>59</v>
      </c>
      <c r="G179" s="90">
        <f>F179*30</f>
        <v>1770</v>
      </c>
    </row>
    <row r="180" spans="1:7" x14ac:dyDescent="0.2">
      <c r="A180" s="122">
        <v>8421</v>
      </c>
      <c r="B180" s="123" t="s">
        <v>38</v>
      </c>
      <c r="C180" s="122" t="s">
        <v>26</v>
      </c>
      <c r="D180" s="123">
        <v>1</v>
      </c>
      <c r="E180" s="128" t="s">
        <v>23</v>
      </c>
      <c r="F180" s="132">
        <v>57.5</v>
      </c>
      <c r="G180" s="125">
        <f>F180*60</f>
        <v>3450</v>
      </c>
    </row>
    <row r="181" spans="1:7" x14ac:dyDescent="0.2">
      <c r="A181" s="3"/>
      <c r="B181" s="2"/>
      <c r="D181" s="2"/>
      <c r="E181" s="151"/>
      <c r="F181" s="6"/>
      <c r="G181" s="4"/>
    </row>
    <row r="182" spans="1:7" ht="15" x14ac:dyDescent="0.2">
      <c r="A182" s="153" t="s">
        <v>85</v>
      </c>
      <c r="B182" s="153"/>
      <c r="C182" s="18"/>
      <c r="D182" s="18"/>
      <c r="E182" s="18"/>
      <c r="F182" s="18"/>
      <c r="G182" s="18"/>
    </row>
    <row r="183" spans="1:7" x14ac:dyDescent="0.2">
      <c r="A183" s="12" t="s">
        <v>1</v>
      </c>
      <c r="B183" s="11" t="s">
        <v>2</v>
      </c>
      <c r="C183" s="12" t="s">
        <v>3</v>
      </c>
      <c r="D183" s="11" t="s">
        <v>4</v>
      </c>
      <c r="E183" s="225" t="s">
        <v>5</v>
      </c>
      <c r="F183" s="225"/>
      <c r="G183" s="11" t="s">
        <v>6</v>
      </c>
    </row>
    <row r="184" spans="1:7" x14ac:dyDescent="0.2">
      <c r="A184" s="85">
        <v>9179</v>
      </c>
      <c r="B184" s="86" t="s">
        <v>15</v>
      </c>
      <c r="C184" s="85" t="s">
        <v>57</v>
      </c>
      <c r="D184" s="89">
        <v>1</v>
      </c>
      <c r="E184" s="89"/>
      <c r="F184" s="87">
        <v>81.5</v>
      </c>
      <c r="G184" s="88">
        <f>D184*F184</f>
        <v>81.5</v>
      </c>
    </row>
    <row r="185" spans="1:7" x14ac:dyDescent="0.2">
      <c r="A185" s="89"/>
      <c r="B185" s="89"/>
      <c r="C185" s="89"/>
      <c r="D185" s="89">
        <v>6</v>
      </c>
      <c r="E185" s="96"/>
      <c r="F185" s="87">
        <v>74.2</v>
      </c>
      <c r="G185" s="88">
        <f>D185*F185</f>
        <v>445.20000000000005</v>
      </c>
    </row>
    <row r="186" spans="1:7" x14ac:dyDescent="0.2">
      <c r="A186" s="91"/>
      <c r="B186" s="93"/>
      <c r="C186" s="91"/>
      <c r="D186" s="89">
        <v>12</v>
      </c>
      <c r="E186" s="96" t="s">
        <v>23</v>
      </c>
      <c r="F186" s="87">
        <v>70.900000000000006</v>
      </c>
      <c r="G186" s="88">
        <f>D186*F186</f>
        <v>850.80000000000007</v>
      </c>
    </row>
    <row r="187" spans="1:7" x14ac:dyDescent="0.2">
      <c r="A187" s="91"/>
      <c r="B187" s="93"/>
      <c r="C187" s="91"/>
      <c r="D187" s="89">
        <v>24</v>
      </c>
      <c r="E187" s="96" t="s">
        <v>23</v>
      </c>
      <c r="F187" s="87">
        <v>67.400000000000006</v>
      </c>
      <c r="G187" s="88">
        <f>D187*F187</f>
        <v>1617.6000000000001</v>
      </c>
    </row>
    <row r="188" spans="1:7" x14ac:dyDescent="0.2">
      <c r="A188" s="122">
        <v>9181</v>
      </c>
      <c r="B188" s="123" t="s">
        <v>58</v>
      </c>
      <c r="C188" s="122" t="s">
        <v>59</v>
      </c>
      <c r="D188" s="123">
        <v>1</v>
      </c>
      <c r="E188" s="123"/>
      <c r="F188" s="132">
        <v>63.6</v>
      </c>
      <c r="G188" s="125">
        <f>F188*13</f>
        <v>826.80000000000007</v>
      </c>
    </row>
    <row r="189" spans="1:7" x14ac:dyDescent="0.2">
      <c r="A189" s="85">
        <v>9183</v>
      </c>
      <c r="B189" s="86" t="s">
        <v>37</v>
      </c>
      <c r="C189" s="85" t="s">
        <v>26</v>
      </c>
      <c r="D189" s="86">
        <v>1</v>
      </c>
      <c r="E189" s="86"/>
      <c r="F189" s="87">
        <v>60.9</v>
      </c>
      <c r="G189" s="90">
        <f>F189*30</f>
        <v>1827</v>
      </c>
    </row>
    <row r="190" spans="1:7" x14ac:dyDescent="0.2">
      <c r="A190" s="122">
        <v>9184</v>
      </c>
      <c r="B190" s="123" t="s">
        <v>38</v>
      </c>
      <c r="C190" s="122" t="s">
        <v>26</v>
      </c>
      <c r="D190" s="123">
        <v>1</v>
      </c>
      <c r="E190" s="128" t="s">
        <v>23</v>
      </c>
      <c r="F190" s="132">
        <v>59.3</v>
      </c>
      <c r="G190" s="125">
        <f>F190*60</f>
        <v>3558</v>
      </c>
    </row>
    <row r="191" spans="1:7" x14ac:dyDescent="0.2">
      <c r="A191" s="85">
        <v>9185</v>
      </c>
      <c r="B191" s="86" t="s">
        <v>25</v>
      </c>
      <c r="C191" s="85" t="s">
        <v>26</v>
      </c>
      <c r="D191" s="86">
        <v>1</v>
      </c>
      <c r="E191" s="96" t="s">
        <v>23</v>
      </c>
      <c r="F191" s="87">
        <v>56.6</v>
      </c>
      <c r="G191" s="90">
        <f>F191*200</f>
        <v>11320</v>
      </c>
    </row>
    <row r="192" spans="1:7" x14ac:dyDescent="0.2">
      <c r="C192" s="1"/>
    </row>
    <row r="193" spans="1:7" ht="15" x14ac:dyDescent="0.2">
      <c r="A193" s="153" t="s">
        <v>86</v>
      </c>
      <c r="B193" s="153"/>
      <c r="C193" s="18"/>
      <c r="D193" s="18"/>
      <c r="E193" s="18"/>
      <c r="F193" s="18"/>
      <c r="G193" s="18"/>
    </row>
    <row r="194" spans="1:7" x14ac:dyDescent="0.2">
      <c r="A194" s="12" t="s">
        <v>1</v>
      </c>
      <c r="B194" s="11" t="s">
        <v>2</v>
      </c>
      <c r="C194" s="12" t="s">
        <v>3</v>
      </c>
      <c r="D194" s="11" t="s">
        <v>4</v>
      </c>
      <c r="E194" s="225" t="s">
        <v>5</v>
      </c>
      <c r="F194" s="225"/>
      <c r="G194" s="11" t="s">
        <v>6</v>
      </c>
    </row>
    <row r="195" spans="1:7" x14ac:dyDescent="0.2">
      <c r="A195" s="85">
        <v>6879</v>
      </c>
      <c r="B195" s="86" t="s">
        <v>15</v>
      </c>
      <c r="C195" s="85" t="s">
        <v>57</v>
      </c>
      <c r="D195" s="89">
        <v>1</v>
      </c>
      <c r="E195" s="96" t="s">
        <v>23</v>
      </c>
      <c r="F195" s="87">
        <v>76.900000000000006</v>
      </c>
      <c r="G195" s="88">
        <f>D195*F195</f>
        <v>76.900000000000006</v>
      </c>
    </row>
    <row r="196" spans="1:7" x14ac:dyDescent="0.2">
      <c r="A196" s="89"/>
      <c r="B196" s="89"/>
      <c r="C196" s="89"/>
      <c r="D196" s="89">
        <v>6</v>
      </c>
      <c r="E196" s="96" t="s">
        <v>23</v>
      </c>
      <c r="F196" s="87">
        <v>70.400000000000006</v>
      </c>
      <c r="G196" s="88">
        <f>D196*F196</f>
        <v>422.40000000000003</v>
      </c>
    </row>
    <row r="197" spans="1:7" x14ac:dyDescent="0.2">
      <c r="A197" s="91"/>
      <c r="B197" s="93"/>
      <c r="C197" s="91"/>
      <c r="D197" s="89">
        <v>12</v>
      </c>
      <c r="E197" s="96" t="s">
        <v>23</v>
      </c>
      <c r="F197" s="87">
        <v>67</v>
      </c>
      <c r="G197" s="88">
        <f>D197*F197</f>
        <v>804</v>
      </c>
    </row>
    <row r="198" spans="1:7" x14ac:dyDescent="0.2">
      <c r="A198" s="91"/>
      <c r="B198" s="93"/>
      <c r="C198" s="91"/>
      <c r="D198" s="89">
        <v>24</v>
      </c>
      <c r="E198" s="96" t="s">
        <v>23</v>
      </c>
      <c r="F198" s="87">
        <v>63.7</v>
      </c>
      <c r="G198" s="88">
        <f>D198*F198</f>
        <v>1528.8000000000002</v>
      </c>
    </row>
    <row r="199" spans="1:7" x14ac:dyDescent="0.2">
      <c r="A199" s="122">
        <v>6880</v>
      </c>
      <c r="B199" s="123" t="s">
        <v>58</v>
      </c>
      <c r="C199" s="122" t="s">
        <v>59</v>
      </c>
      <c r="D199" s="123">
        <v>1</v>
      </c>
      <c r="E199" s="128" t="s">
        <v>23</v>
      </c>
      <c r="F199" s="132">
        <v>58.2</v>
      </c>
      <c r="G199" s="125">
        <f>F199*13</f>
        <v>756.6</v>
      </c>
    </row>
    <row r="200" spans="1:7" x14ac:dyDescent="0.2">
      <c r="A200" s="85">
        <v>6881</v>
      </c>
      <c r="B200" s="86" t="s">
        <v>37</v>
      </c>
      <c r="C200" s="85" t="s">
        <v>26</v>
      </c>
      <c r="D200" s="86">
        <v>1</v>
      </c>
      <c r="E200" s="96" t="s">
        <v>23</v>
      </c>
      <c r="F200" s="87">
        <v>53.5</v>
      </c>
      <c r="G200" s="90">
        <f>F200*30</f>
        <v>1605</v>
      </c>
    </row>
    <row r="201" spans="1:7" x14ac:dyDescent="0.2">
      <c r="A201" s="122">
        <v>6882</v>
      </c>
      <c r="B201" s="123" t="s">
        <v>38</v>
      </c>
      <c r="C201" s="122" t="s">
        <v>26</v>
      </c>
      <c r="D201" s="123">
        <v>1</v>
      </c>
      <c r="E201" s="128" t="s">
        <v>23</v>
      </c>
      <c r="F201" s="132">
        <v>50.1</v>
      </c>
      <c r="G201" s="125">
        <f>F201*60</f>
        <v>3006</v>
      </c>
    </row>
    <row r="202" spans="1:7" x14ac:dyDescent="0.2">
      <c r="A202" s="85">
        <v>6883</v>
      </c>
      <c r="B202" s="86" t="s">
        <v>25</v>
      </c>
      <c r="C202" s="85" t="s">
        <v>26</v>
      </c>
      <c r="D202" s="86">
        <v>1</v>
      </c>
      <c r="E202" s="96" t="s">
        <v>23</v>
      </c>
      <c r="F202" s="87">
        <v>46.5</v>
      </c>
      <c r="G202" s="90">
        <f>F202*200</f>
        <v>9300</v>
      </c>
    </row>
  </sheetData>
  <mergeCells count="17">
    <mergeCell ref="A1:G3"/>
    <mergeCell ref="A5:B5"/>
    <mergeCell ref="A12:B12"/>
    <mergeCell ref="E6:F6"/>
    <mergeCell ref="E194:F194"/>
    <mergeCell ref="A172:G172"/>
    <mergeCell ref="A173:B173"/>
    <mergeCell ref="E174:F174"/>
    <mergeCell ref="E183:F183"/>
    <mergeCell ref="A162:B162"/>
    <mergeCell ref="A59:B59"/>
    <mergeCell ref="E13:F13"/>
    <mergeCell ref="E30:F30"/>
    <mergeCell ref="A129:B129"/>
    <mergeCell ref="A110:B110"/>
    <mergeCell ref="E111:F111"/>
    <mergeCell ref="E60:F60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BC92-6657-4AD2-809E-6E20CFF6F40D}">
  <dimension ref="A1:K212"/>
  <sheetViews>
    <sheetView showGridLines="0" topLeftCell="A12" zoomScaleNormal="100" workbookViewId="0">
      <selection activeCell="F24" sqref="F24:F30"/>
    </sheetView>
  </sheetViews>
  <sheetFormatPr defaultColWidth="9.140625" defaultRowHeight="12.75" x14ac:dyDescent="0.2"/>
  <cols>
    <col min="1" max="1" width="13.7109375" style="1" customWidth="1"/>
    <col min="2" max="2" width="11.42578125" style="1" customWidth="1"/>
    <col min="3" max="3" width="20.28515625" style="3" customWidth="1"/>
    <col min="4" max="4" width="8.28515625" style="1" customWidth="1"/>
    <col min="5" max="5" width="1.85546875" style="1" customWidth="1"/>
    <col min="6" max="6" width="19.42578125" style="1" customWidth="1"/>
    <col min="7" max="7" width="20.28515625" style="1" customWidth="1"/>
    <col min="8" max="8" width="9.140625" style="1"/>
    <col min="9" max="11" width="9.140625" style="6"/>
    <col min="12" max="16384" width="9.140625" style="1"/>
  </cols>
  <sheetData>
    <row r="1" spans="1:7" ht="12.75" customHeight="1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D4" s="2"/>
      <c r="E4" s="2"/>
      <c r="F4" s="2"/>
      <c r="G4" s="2"/>
    </row>
    <row r="5" spans="1:7" ht="15" x14ac:dyDescent="0.2">
      <c r="A5" s="224" t="s">
        <v>87</v>
      </c>
      <c r="B5" s="224"/>
      <c r="C5" s="18"/>
      <c r="D5" s="18"/>
      <c r="E5" s="18"/>
      <c r="F5" s="18"/>
      <c r="G5" s="18"/>
    </row>
    <row r="6" spans="1:7" x14ac:dyDescent="0.2">
      <c r="A6" s="12" t="s">
        <v>1</v>
      </c>
      <c r="B6" s="11" t="s">
        <v>2</v>
      </c>
      <c r="C6" s="12" t="s">
        <v>3</v>
      </c>
      <c r="D6" s="11" t="s">
        <v>4</v>
      </c>
      <c r="E6" s="225" t="s">
        <v>5</v>
      </c>
      <c r="F6" s="225"/>
      <c r="G6" s="11" t="s">
        <v>6</v>
      </c>
    </row>
    <row r="7" spans="1:7" ht="12.75" customHeight="1" x14ac:dyDescent="0.2">
      <c r="A7" s="85">
        <v>8474</v>
      </c>
      <c r="B7" s="86" t="s">
        <v>88</v>
      </c>
      <c r="C7" s="85" t="s">
        <v>49</v>
      </c>
      <c r="D7" s="86">
        <v>1</v>
      </c>
      <c r="E7" s="86"/>
      <c r="F7" s="87">
        <v>25</v>
      </c>
      <c r="G7" s="88">
        <f t="shared" ref="G7:G17" si="0">D7*F7</f>
        <v>25</v>
      </c>
    </row>
    <row r="8" spans="1:7" x14ac:dyDescent="0.2">
      <c r="A8" s="85"/>
      <c r="B8" s="86"/>
      <c r="C8" s="85"/>
      <c r="D8" s="86">
        <v>12</v>
      </c>
      <c r="E8" s="86"/>
      <c r="F8" s="87">
        <v>22.8</v>
      </c>
      <c r="G8" s="88">
        <f t="shared" si="0"/>
        <v>273.60000000000002</v>
      </c>
    </row>
    <row r="9" spans="1:7" x14ac:dyDescent="0.2">
      <c r="A9" s="85"/>
      <c r="B9" s="86"/>
      <c r="C9" s="85"/>
      <c r="D9" s="86">
        <v>24</v>
      </c>
      <c r="E9" s="86"/>
      <c r="F9" s="87">
        <v>21.7</v>
      </c>
      <c r="G9" s="88">
        <f t="shared" si="0"/>
        <v>520.79999999999995</v>
      </c>
    </row>
    <row r="10" spans="1:7" x14ac:dyDescent="0.2">
      <c r="A10" s="85"/>
      <c r="B10" s="86"/>
      <c r="C10" s="85"/>
      <c r="D10" s="86">
        <v>48</v>
      </c>
      <c r="E10" s="86"/>
      <c r="F10" s="87">
        <v>20.7</v>
      </c>
      <c r="G10" s="88">
        <f t="shared" si="0"/>
        <v>993.59999999999991</v>
      </c>
    </row>
    <row r="11" spans="1:7" x14ac:dyDescent="0.2">
      <c r="A11" s="122">
        <v>9252</v>
      </c>
      <c r="B11" s="123" t="s">
        <v>12</v>
      </c>
      <c r="C11" s="122" t="s">
        <v>11</v>
      </c>
      <c r="D11" s="123">
        <v>1</v>
      </c>
      <c r="E11" s="123"/>
      <c r="F11" s="132">
        <v>27.5</v>
      </c>
      <c r="G11" s="125">
        <f t="shared" si="0"/>
        <v>27.5</v>
      </c>
    </row>
    <row r="12" spans="1:7" x14ac:dyDescent="0.2">
      <c r="A12" s="122"/>
      <c r="B12" s="123"/>
      <c r="C12" s="122"/>
      <c r="D12" s="123">
        <v>12</v>
      </c>
      <c r="E12" s="123"/>
      <c r="F12" s="132">
        <v>25.1</v>
      </c>
      <c r="G12" s="125">
        <f t="shared" si="0"/>
        <v>301.20000000000005</v>
      </c>
    </row>
    <row r="13" spans="1:7" x14ac:dyDescent="0.2">
      <c r="A13" s="122"/>
      <c r="B13" s="123"/>
      <c r="C13" s="122"/>
      <c r="D13" s="123">
        <v>24</v>
      </c>
      <c r="E13" s="123"/>
      <c r="F13" s="132">
        <v>23.9</v>
      </c>
      <c r="G13" s="125">
        <f t="shared" si="0"/>
        <v>573.59999999999991</v>
      </c>
    </row>
    <row r="14" spans="1:7" x14ac:dyDescent="0.2">
      <c r="A14" s="122"/>
      <c r="B14" s="123"/>
      <c r="C14" s="122"/>
      <c r="D14" s="123">
        <v>48</v>
      </c>
      <c r="E14" s="123"/>
      <c r="F14" s="132">
        <v>22.8</v>
      </c>
      <c r="G14" s="125">
        <f t="shared" si="0"/>
        <v>1094.4000000000001</v>
      </c>
    </row>
    <row r="15" spans="1:7" x14ac:dyDescent="0.2">
      <c r="A15" s="85">
        <v>6721</v>
      </c>
      <c r="B15" s="86" t="s">
        <v>15</v>
      </c>
      <c r="C15" s="85" t="s">
        <v>57</v>
      </c>
      <c r="D15" s="89">
        <v>1</v>
      </c>
      <c r="E15" s="89"/>
      <c r="F15" s="87">
        <v>71.7</v>
      </c>
      <c r="G15" s="88">
        <f t="shared" si="0"/>
        <v>71.7</v>
      </c>
    </row>
    <row r="16" spans="1:7" x14ac:dyDescent="0.2">
      <c r="A16" s="85"/>
      <c r="B16" s="86"/>
      <c r="C16" s="85"/>
      <c r="D16" s="89">
        <v>6</v>
      </c>
      <c r="E16" s="89"/>
      <c r="F16" s="87">
        <v>65.400000000000006</v>
      </c>
      <c r="G16" s="88">
        <f t="shared" si="0"/>
        <v>392.40000000000003</v>
      </c>
    </row>
    <row r="17" spans="1:7" x14ac:dyDescent="0.2">
      <c r="A17" s="85"/>
      <c r="B17" s="86"/>
      <c r="C17" s="85"/>
      <c r="D17" s="89">
        <v>12</v>
      </c>
      <c r="E17" s="89"/>
      <c r="F17" s="87">
        <v>62.2</v>
      </c>
      <c r="G17" s="88">
        <f t="shared" si="0"/>
        <v>746.40000000000009</v>
      </c>
    </row>
    <row r="18" spans="1:7" x14ac:dyDescent="0.2">
      <c r="A18" s="122">
        <v>8557</v>
      </c>
      <c r="B18" s="123" t="s">
        <v>58</v>
      </c>
      <c r="C18" s="122" t="s">
        <v>59</v>
      </c>
      <c r="D18" s="123">
        <v>1</v>
      </c>
      <c r="E18" s="128" t="s">
        <v>23</v>
      </c>
      <c r="F18" s="132">
        <v>64.3</v>
      </c>
      <c r="G18" s="125">
        <f>F18*13</f>
        <v>835.9</v>
      </c>
    </row>
    <row r="19" spans="1:7" x14ac:dyDescent="0.2">
      <c r="A19" s="85">
        <v>8440</v>
      </c>
      <c r="B19" s="86" t="s">
        <v>37</v>
      </c>
      <c r="C19" s="85" t="s">
        <v>26</v>
      </c>
      <c r="D19" s="86">
        <v>1</v>
      </c>
      <c r="E19" s="96" t="s">
        <v>23</v>
      </c>
      <c r="F19" s="87">
        <v>63.6</v>
      </c>
      <c r="G19" s="90">
        <f>F19*30</f>
        <v>1908</v>
      </c>
    </row>
    <row r="20" spans="1:7" ht="12.75" customHeight="1" x14ac:dyDescent="0.2">
      <c r="A20" s="122">
        <v>8441</v>
      </c>
      <c r="B20" s="123" t="s">
        <v>38</v>
      </c>
      <c r="C20" s="122" t="s">
        <v>26</v>
      </c>
      <c r="D20" s="123">
        <v>1</v>
      </c>
      <c r="E20" s="128" t="s">
        <v>23</v>
      </c>
      <c r="F20" s="132">
        <v>62.9</v>
      </c>
      <c r="G20" s="125">
        <f>F20*60</f>
        <v>3774</v>
      </c>
    </row>
    <row r="22" spans="1:7" ht="15" x14ac:dyDescent="0.2">
      <c r="A22" s="153" t="s">
        <v>89</v>
      </c>
      <c r="B22" s="153"/>
      <c r="C22" s="18"/>
      <c r="D22" s="18"/>
      <c r="E22" s="18"/>
      <c r="F22" s="18"/>
      <c r="G22" s="18"/>
    </row>
    <row r="23" spans="1:7" x14ac:dyDescent="0.2">
      <c r="A23" s="12" t="s">
        <v>1</v>
      </c>
      <c r="B23" s="11" t="s">
        <v>2</v>
      </c>
      <c r="C23" s="12" t="s">
        <v>3</v>
      </c>
      <c r="D23" s="11" t="s">
        <v>4</v>
      </c>
      <c r="E23" s="225" t="s">
        <v>5</v>
      </c>
      <c r="F23" s="225"/>
      <c r="G23" s="11" t="s">
        <v>6</v>
      </c>
    </row>
    <row r="24" spans="1:7" x14ac:dyDescent="0.2">
      <c r="A24" s="85">
        <v>8509</v>
      </c>
      <c r="B24" s="86" t="s">
        <v>88</v>
      </c>
      <c r="C24" s="85" t="s">
        <v>49</v>
      </c>
      <c r="D24" s="86">
        <v>1</v>
      </c>
      <c r="E24" s="86"/>
      <c r="F24" s="87">
        <v>23.9</v>
      </c>
      <c r="G24" s="88">
        <f t="shared" ref="G24:G30" si="1">D24*F24</f>
        <v>23.9</v>
      </c>
    </row>
    <row r="25" spans="1:7" x14ac:dyDescent="0.2">
      <c r="A25" s="85"/>
      <c r="B25" s="86"/>
      <c r="C25" s="85"/>
      <c r="D25" s="86">
        <v>12</v>
      </c>
      <c r="E25" s="86"/>
      <c r="F25" s="87">
        <v>21.8</v>
      </c>
      <c r="G25" s="88">
        <f t="shared" si="1"/>
        <v>261.60000000000002</v>
      </c>
    </row>
    <row r="26" spans="1:7" x14ac:dyDescent="0.2">
      <c r="A26" s="85"/>
      <c r="B26" s="86"/>
      <c r="C26" s="85"/>
      <c r="D26" s="86">
        <v>24</v>
      </c>
      <c r="E26" s="86"/>
      <c r="F26" s="87">
        <v>20.8</v>
      </c>
      <c r="G26" s="88">
        <f t="shared" si="1"/>
        <v>499.20000000000005</v>
      </c>
    </row>
    <row r="27" spans="1:7" x14ac:dyDescent="0.2">
      <c r="A27" s="85"/>
      <c r="B27" s="86"/>
      <c r="C27" s="85"/>
      <c r="D27" s="86">
        <v>48</v>
      </c>
      <c r="E27" s="96" t="s">
        <v>23</v>
      </c>
      <c r="F27" s="87">
        <v>19.8</v>
      </c>
      <c r="G27" s="88">
        <f t="shared" si="1"/>
        <v>950.40000000000009</v>
      </c>
    </row>
    <row r="28" spans="1:7" x14ac:dyDescent="0.2">
      <c r="A28" s="122">
        <v>9999</v>
      </c>
      <c r="B28" s="123" t="s">
        <v>15</v>
      </c>
      <c r="C28" s="122" t="s">
        <v>57</v>
      </c>
      <c r="D28" s="124">
        <v>1</v>
      </c>
      <c r="E28" s="124"/>
      <c r="F28" s="132">
        <v>62.3</v>
      </c>
      <c r="G28" s="125">
        <f t="shared" si="1"/>
        <v>62.3</v>
      </c>
    </row>
    <row r="29" spans="1:7" ht="12.75" customHeight="1" x14ac:dyDescent="0.2">
      <c r="A29" s="122"/>
      <c r="B29" s="123"/>
      <c r="C29" s="122"/>
      <c r="D29" s="124">
        <v>6</v>
      </c>
      <c r="E29" s="124"/>
      <c r="F29" s="132">
        <v>57</v>
      </c>
      <c r="G29" s="125">
        <f t="shared" si="1"/>
        <v>342</v>
      </c>
    </row>
    <row r="30" spans="1:7" x14ac:dyDescent="0.2">
      <c r="A30" s="122"/>
      <c r="B30" s="123"/>
      <c r="C30" s="122"/>
      <c r="D30" s="124">
        <v>12</v>
      </c>
      <c r="E30" s="124"/>
      <c r="F30" s="132">
        <v>54.3</v>
      </c>
      <c r="G30" s="125">
        <f t="shared" si="1"/>
        <v>651.59999999999991</v>
      </c>
    </row>
    <row r="31" spans="1:7" x14ac:dyDescent="0.2">
      <c r="A31" s="40"/>
      <c r="B31" s="41"/>
      <c r="C31" s="40"/>
      <c r="D31" s="41"/>
      <c r="E31" s="41"/>
      <c r="F31" s="42"/>
      <c r="G31" s="43"/>
    </row>
    <row r="32" spans="1:7" x14ac:dyDescent="0.2">
      <c r="A32" s="40"/>
      <c r="B32" s="41"/>
      <c r="C32" s="40"/>
      <c r="D32" s="41"/>
      <c r="E32" s="41"/>
      <c r="F32" s="42"/>
      <c r="G32" s="43"/>
    </row>
    <row r="33" spans="1:7" x14ac:dyDescent="0.2">
      <c r="A33" s="40"/>
      <c r="B33" s="41"/>
      <c r="C33" s="40"/>
      <c r="D33" s="41"/>
      <c r="E33" s="41"/>
      <c r="F33" s="42"/>
      <c r="G33" s="43"/>
    </row>
    <row r="34" spans="1:7" x14ac:dyDescent="0.2">
      <c r="A34" s="40"/>
      <c r="B34" s="41"/>
      <c r="C34" s="40"/>
      <c r="D34" s="41"/>
      <c r="E34" s="41"/>
      <c r="F34" s="42"/>
      <c r="G34" s="43"/>
    </row>
    <row r="35" spans="1:7" x14ac:dyDescent="0.2">
      <c r="A35" s="40"/>
      <c r="B35" s="41"/>
      <c r="C35" s="40"/>
      <c r="D35" s="41"/>
      <c r="E35" s="41"/>
      <c r="F35" s="42"/>
      <c r="G35" s="43"/>
    </row>
    <row r="36" spans="1:7" x14ac:dyDescent="0.2">
      <c r="A36" s="3"/>
      <c r="B36" s="2"/>
      <c r="F36" s="6"/>
      <c r="G36" s="6"/>
    </row>
    <row r="37" spans="1:7" x14ac:dyDescent="0.2">
      <c r="A37" s="40"/>
      <c r="B37" s="41"/>
      <c r="C37" s="40"/>
      <c r="D37" s="41"/>
      <c r="E37" s="41"/>
      <c r="F37" s="42"/>
      <c r="G37" s="43"/>
    </row>
    <row r="38" spans="1:7" x14ac:dyDescent="0.2">
      <c r="A38" s="40"/>
      <c r="B38" s="41"/>
      <c r="C38" s="40"/>
      <c r="D38" s="41"/>
      <c r="E38" s="41"/>
      <c r="F38" s="42"/>
      <c r="G38" s="43"/>
    </row>
    <row r="39" spans="1:7" x14ac:dyDescent="0.2">
      <c r="A39" s="3"/>
      <c r="B39" s="3"/>
      <c r="D39" s="2"/>
      <c r="E39" s="2"/>
      <c r="F39" s="6"/>
      <c r="G39" s="4"/>
    </row>
    <row r="40" spans="1:7" x14ac:dyDescent="0.2">
      <c r="A40" s="228"/>
      <c r="B40" s="228"/>
      <c r="C40" s="34"/>
      <c r="D40" s="34"/>
      <c r="E40" s="34"/>
      <c r="F40" s="34"/>
      <c r="G40" s="34"/>
    </row>
    <row r="41" spans="1:7" x14ac:dyDescent="0.2">
      <c r="A41" s="35"/>
      <c r="B41" s="35"/>
      <c r="C41" s="35"/>
      <c r="D41" s="35"/>
      <c r="E41" s="35"/>
      <c r="F41" s="35"/>
      <c r="G41" s="35"/>
    </row>
    <row r="42" spans="1:7" x14ac:dyDescent="0.2">
      <c r="A42" s="40"/>
      <c r="B42" s="41"/>
      <c r="C42" s="40"/>
      <c r="D42" s="50"/>
      <c r="E42" s="50"/>
      <c r="F42" s="42"/>
      <c r="G42" s="43"/>
    </row>
    <row r="43" spans="1:7" x14ac:dyDescent="0.2">
      <c r="A43" s="40"/>
      <c r="B43" s="41"/>
      <c r="C43" s="40"/>
      <c r="D43" s="50"/>
      <c r="E43" s="50"/>
      <c r="F43" s="42"/>
      <c r="G43" s="43"/>
    </row>
    <row r="44" spans="1:7" ht="12.75" customHeight="1" x14ac:dyDescent="0.2">
      <c r="A44" s="40"/>
      <c r="B44" s="41"/>
      <c r="C44" s="40"/>
      <c r="D44" s="50"/>
      <c r="E44" s="50"/>
      <c r="F44" s="42"/>
      <c r="G44" s="43"/>
    </row>
    <row r="45" spans="1:7" x14ac:dyDescent="0.2">
      <c r="A45" s="40"/>
      <c r="B45" s="41"/>
      <c r="C45" s="40"/>
      <c r="D45" s="41"/>
      <c r="E45" s="41"/>
      <c r="F45" s="51"/>
      <c r="G45" s="43"/>
    </row>
    <row r="46" spans="1:7" x14ac:dyDescent="0.2">
      <c r="A46" s="3"/>
      <c r="D46" s="2"/>
      <c r="E46" s="2"/>
      <c r="F46" s="6"/>
      <c r="G46" s="4"/>
    </row>
    <row r="47" spans="1:7" x14ac:dyDescent="0.2">
      <c r="A47" s="228"/>
      <c r="B47" s="228"/>
      <c r="C47" s="34"/>
      <c r="D47" s="34"/>
      <c r="E47" s="34"/>
      <c r="F47" s="34"/>
      <c r="G47" s="34"/>
    </row>
    <row r="48" spans="1:7" x14ac:dyDescent="0.2">
      <c r="A48" s="35"/>
      <c r="B48" s="35"/>
      <c r="C48" s="35"/>
      <c r="D48" s="35"/>
      <c r="E48" s="35"/>
      <c r="F48" s="35"/>
      <c r="G48" s="35"/>
    </row>
    <row r="49" spans="1:7" x14ac:dyDescent="0.2">
      <c r="A49" s="3"/>
      <c r="B49" s="2"/>
      <c r="D49" s="2"/>
      <c r="E49" s="2"/>
      <c r="F49" s="6"/>
      <c r="G49" s="4"/>
    </row>
    <row r="50" spans="1:7" x14ac:dyDescent="0.2">
      <c r="C50" s="1"/>
      <c r="D50" s="41"/>
      <c r="E50" s="41"/>
      <c r="F50" s="42"/>
      <c r="G50" s="43"/>
    </row>
    <row r="51" spans="1:7" x14ac:dyDescent="0.2">
      <c r="A51" s="39"/>
      <c r="B51" s="36"/>
      <c r="C51" s="39"/>
      <c r="D51" s="41"/>
      <c r="E51" s="41"/>
      <c r="F51" s="42"/>
      <c r="G51" s="43"/>
    </row>
    <row r="52" spans="1:7" x14ac:dyDescent="0.2">
      <c r="A52" s="39"/>
      <c r="B52" s="36"/>
      <c r="C52" s="39"/>
      <c r="D52" s="41"/>
      <c r="E52" s="41"/>
      <c r="F52" s="42"/>
      <c r="G52" s="43"/>
    </row>
    <row r="53" spans="1:7" ht="12.75" customHeight="1" x14ac:dyDescent="0.2">
      <c r="A53" s="3"/>
      <c r="B53" s="2"/>
      <c r="D53" s="2"/>
      <c r="E53" s="2"/>
      <c r="F53" s="6"/>
      <c r="G53" s="4"/>
    </row>
    <row r="54" spans="1:7" x14ac:dyDescent="0.2">
      <c r="C54" s="1"/>
      <c r="D54" s="2"/>
      <c r="E54" s="2"/>
      <c r="F54" s="6"/>
      <c r="G54" s="4"/>
    </row>
    <row r="55" spans="1:7" x14ac:dyDescent="0.2">
      <c r="A55" s="3"/>
      <c r="B55" s="2"/>
      <c r="D55" s="2"/>
      <c r="E55" s="2"/>
      <c r="F55" s="6"/>
      <c r="G55" s="4"/>
    </row>
    <row r="56" spans="1:7" x14ac:dyDescent="0.2">
      <c r="A56" s="39"/>
      <c r="B56" s="36"/>
      <c r="C56" s="39"/>
      <c r="D56" s="41"/>
      <c r="E56" s="41"/>
      <c r="F56" s="42"/>
      <c r="G56" s="43"/>
    </row>
    <row r="57" spans="1:7" x14ac:dyDescent="0.2">
      <c r="A57" s="40"/>
      <c r="B57" s="41"/>
      <c r="C57" s="40"/>
      <c r="D57" s="41"/>
      <c r="E57" s="41"/>
      <c r="F57" s="42"/>
      <c r="G57" s="43"/>
    </row>
    <row r="58" spans="1:7" x14ac:dyDescent="0.2">
      <c r="A58" s="40"/>
      <c r="B58" s="41"/>
      <c r="C58" s="40"/>
      <c r="D58" s="50"/>
      <c r="E58" s="50"/>
      <c r="F58" s="42"/>
      <c r="G58" s="42"/>
    </row>
    <row r="59" spans="1:7" x14ac:dyDescent="0.2">
      <c r="A59" s="40"/>
      <c r="B59" s="41"/>
      <c r="C59" s="40"/>
      <c r="D59" s="41"/>
      <c r="E59" s="41"/>
      <c r="F59" s="42"/>
      <c r="G59" s="43"/>
    </row>
    <row r="60" spans="1:7" x14ac:dyDescent="0.2">
      <c r="A60" s="40"/>
      <c r="B60" s="41"/>
      <c r="C60" s="40"/>
      <c r="D60" s="41"/>
      <c r="E60" s="41"/>
      <c r="F60" s="42"/>
      <c r="G60" s="43"/>
    </row>
    <row r="61" spans="1:7" x14ac:dyDescent="0.2">
      <c r="A61" s="3"/>
      <c r="B61" s="2"/>
      <c r="D61" s="2"/>
      <c r="E61" s="2"/>
      <c r="F61" s="29"/>
      <c r="G61" s="4"/>
    </row>
    <row r="62" spans="1:7" x14ac:dyDescent="0.2">
      <c r="A62" s="3"/>
      <c r="F62" s="29"/>
      <c r="G62" s="4"/>
    </row>
    <row r="63" spans="1:7" x14ac:dyDescent="0.2">
      <c r="C63" s="1"/>
      <c r="D63" s="2"/>
      <c r="E63" s="2"/>
      <c r="F63" s="6"/>
      <c r="G63" s="4"/>
    </row>
    <row r="64" spans="1:7" x14ac:dyDescent="0.2">
      <c r="A64" s="3"/>
      <c r="B64" s="2"/>
      <c r="D64" s="2"/>
      <c r="E64" s="2"/>
      <c r="F64" s="6"/>
      <c r="G64" s="4"/>
    </row>
    <row r="65" spans="1:7" x14ac:dyDescent="0.2">
      <c r="A65" s="3"/>
      <c r="B65" s="2"/>
      <c r="D65" s="2"/>
      <c r="E65" s="2"/>
      <c r="F65" s="6"/>
      <c r="G65" s="4"/>
    </row>
    <row r="66" spans="1:7" x14ac:dyDescent="0.2">
      <c r="A66" s="3"/>
      <c r="B66" s="2"/>
      <c r="D66" s="2"/>
      <c r="E66" s="2"/>
      <c r="F66" s="6"/>
      <c r="G66" s="4"/>
    </row>
    <row r="67" spans="1:7" x14ac:dyDescent="0.2">
      <c r="C67" s="1"/>
      <c r="D67" s="2"/>
      <c r="E67" s="2"/>
      <c r="F67" s="6"/>
      <c r="G67" s="4"/>
    </row>
    <row r="68" spans="1:7" x14ac:dyDescent="0.2">
      <c r="A68" s="3"/>
      <c r="B68" s="2"/>
      <c r="D68" s="41"/>
      <c r="E68" s="41"/>
      <c r="F68" s="42"/>
      <c r="G68" s="43"/>
    </row>
    <row r="69" spans="1:7" x14ac:dyDescent="0.2">
      <c r="A69" s="3"/>
      <c r="B69" s="2"/>
      <c r="D69" s="41"/>
      <c r="E69" s="41"/>
      <c r="F69" s="42"/>
      <c r="G69" s="43"/>
    </row>
    <row r="70" spans="1:7" x14ac:dyDescent="0.2">
      <c r="A70" s="3"/>
      <c r="B70" s="2"/>
      <c r="D70" s="2"/>
      <c r="E70" s="2"/>
      <c r="F70" s="6"/>
      <c r="G70" s="4"/>
    </row>
    <row r="71" spans="1:7" x14ac:dyDescent="0.2">
      <c r="A71" s="3"/>
      <c r="B71" s="2"/>
      <c r="F71" s="6"/>
      <c r="G71" s="5"/>
    </row>
    <row r="72" spans="1:7" x14ac:dyDescent="0.2">
      <c r="A72" s="40"/>
      <c r="B72" s="41"/>
      <c r="C72" s="40"/>
      <c r="D72" s="41"/>
      <c r="E72" s="41"/>
      <c r="F72" s="42"/>
      <c r="G72" s="43"/>
    </row>
    <row r="73" spans="1:7" x14ac:dyDescent="0.2">
      <c r="A73" s="40"/>
      <c r="B73" s="41"/>
      <c r="C73" s="40"/>
      <c r="D73" s="41"/>
      <c r="E73" s="41"/>
      <c r="F73" s="42"/>
      <c r="G73" s="43"/>
    </row>
    <row r="74" spans="1:7" x14ac:dyDescent="0.2">
      <c r="A74" s="31"/>
      <c r="B74" s="32"/>
      <c r="C74" s="39"/>
      <c r="D74" s="32"/>
      <c r="E74" s="32"/>
      <c r="F74" s="33"/>
      <c r="G74" s="30"/>
    </row>
    <row r="75" spans="1:7" x14ac:dyDescent="0.2">
      <c r="A75" s="228"/>
      <c r="B75" s="228"/>
      <c r="C75" s="34"/>
      <c r="D75" s="34"/>
      <c r="E75" s="34"/>
      <c r="F75" s="34"/>
      <c r="G75" s="34"/>
    </row>
    <row r="76" spans="1:7" x14ac:dyDescent="0.2">
      <c r="A76" s="35"/>
      <c r="B76" s="35"/>
      <c r="C76" s="35"/>
      <c r="D76" s="35"/>
      <c r="E76" s="35"/>
      <c r="F76" s="35"/>
      <c r="G76" s="35"/>
    </row>
    <row r="77" spans="1:7" x14ac:dyDescent="0.2">
      <c r="A77" s="3"/>
      <c r="B77" s="2"/>
      <c r="D77" s="2"/>
      <c r="E77" s="2"/>
      <c r="F77" s="6"/>
      <c r="G77" s="4"/>
    </row>
    <row r="78" spans="1:7" x14ac:dyDescent="0.2">
      <c r="C78" s="1"/>
      <c r="D78" s="2"/>
      <c r="E78" s="2"/>
      <c r="F78" s="6"/>
      <c r="G78" s="4"/>
    </row>
    <row r="79" spans="1:7" x14ac:dyDescent="0.2">
      <c r="A79" s="3"/>
      <c r="B79" s="2"/>
      <c r="D79" s="41"/>
      <c r="E79" s="41"/>
      <c r="F79" s="42"/>
      <c r="G79" s="43"/>
    </row>
    <row r="80" spans="1:7" x14ac:dyDescent="0.2">
      <c r="A80" s="3"/>
      <c r="B80" s="2"/>
      <c r="D80" s="41"/>
      <c r="E80" s="41"/>
      <c r="F80" s="42"/>
      <c r="G80" s="43"/>
    </row>
    <row r="81" spans="1:7" x14ac:dyDescent="0.2">
      <c r="A81" s="3"/>
      <c r="B81" s="2"/>
      <c r="D81" s="2"/>
      <c r="E81" s="2"/>
      <c r="F81" s="6"/>
      <c r="G81" s="4"/>
    </row>
    <row r="82" spans="1:7" x14ac:dyDescent="0.2">
      <c r="C82" s="1"/>
      <c r="D82" s="2"/>
      <c r="E82" s="2"/>
      <c r="F82" s="6"/>
      <c r="G82" s="4"/>
    </row>
    <row r="83" spans="1:7" x14ac:dyDescent="0.2">
      <c r="A83" s="39"/>
      <c r="B83" s="36"/>
      <c r="C83" s="39"/>
      <c r="D83" s="2"/>
      <c r="E83" s="2"/>
      <c r="F83" s="6"/>
      <c r="G83" s="4"/>
    </row>
    <row r="84" spans="1:7" x14ac:dyDescent="0.2">
      <c r="A84" s="39"/>
      <c r="B84" s="36"/>
      <c r="C84" s="39"/>
      <c r="D84" s="2"/>
      <c r="E84" s="2"/>
      <c r="F84" s="6"/>
      <c r="G84" s="4"/>
    </row>
    <row r="85" spans="1:7" x14ac:dyDescent="0.2">
      <c r="A85" s="3"/>
      <c r="B85" s="2"/>
      <c r="D85" s="2"/>
      <c r="E85" s="2"/>
      <c r="F85" s="6"/>
      <c r="G85" s="4"/>
    </row>
    <row r="86" spans="1:7" x14ac:dyDescent="0.2">
      <c r="C86" s="1"/>
      <c r="D86" s="41"/>
      <c r="E86" s="41"/>
      <c r="F86" s="42"/>
      <c r="G86" s="43"/>
    </row>
    <row r="87" spans="1:7" x14ac:dyDescent="0.2">
      <c r="A87" s="3"/>
      <c r="B87" s="2"/>
      <c r="D87" s="41"/>
      <c r="E87" s="41"/>
      <c r="F87" s="42"/>
      <c r="G87" s="43"/>
    </row>
    <row r="88" spans="1:7" x14ac:dyDescent="0.2">
      <c r="A88" s="39"/>
      <c r="B88" s="36"/>
      <c r="C88" s="39"/>
      <c r="D88" s="41"/>
      <c r="E88" s="41"/>
      <c r="F88" s="42"/>
      <c r="G88" s="43"/>
    </row>
    <row r="89" spans="1:7" x14ac:dyDescent="0.2">
      <c r="A89" s="40"/>
      <c r="B89" s="41"/>
      <c r="C89" s="40"/>
      <c r="D89" s="41"/>
      <c r="E89" s="41"/>
      <c r="F89" s="42"/>
      <c r="G89" s="43"/>
    </row>
    <row r="90" spans="1:7" x14ac:dyDescent="0.2">
      <c r="C90" s="1"/>
      <c r="D90" s="41"/>
      <c r="E90" s="41"/>
      <c r="F90" s="42"/>
      <c r="G90" s="43"/>
    </row>
    <row r="91" spans="1:7" x14ac:dyDescent="0.2">
      <c r="A91" s="3"/>
      <c r="B91" s="2"/>
      <c r="D91" s="41"/>
      <c r="E91" s="41"/>
      <c r="F91" s="42"/>
      <c r="G91" s="43"/>
    </row>
    <row r="92" spans="1:7" x14ac:dyDescent="0.2">
      <c r="A92" s="3"/>
      <c r="B92" s="2"/>
      <c r="D92" s="2"/>
      <c r="E92" s="2"/>
      <c r="F92" s="6"/>
      <c r="G92" s="4"/>
    </row>
    <row r="93" spans="1:7" x14ac:dyDescent="0.2">
      <c r="A93" s="40"/>
      <c r="B93" s="41"/>
      <c r="C93" s="40"/>
      <c r="D93" s="50"/>
      <c r="E93" s="50"/>
      <c r="F93" s="42"/>
      <c r="G93" s="51"/>
    </row>
    <row r="94" spans="1:7" x14ac:dyDescent="0.2">
      <c r="A94" s="40"/>
      <c r="B94" s="41"/>
      <c r="C94" s="40"/>
      <c r="D94" s="41"/>
      <c r="E94" s="41"/>
      <c r="F94" s="42"/>
      <c r="G94" s="43"/>
    </row>
    <row r="95" spans="1:7" x14ac:dyDescent="0.2">
      <c r="A95" s="40"/>
      <c r="B95" s="41"/>
      <c r="C95" s="40"/>
      <c r="D95" s="41"/>
      <c r="E95" s="41"/>
      <c r="F95" s="42"/>
      <c r="G95" s="43"/>
    </row>
    <row r="96" spans="1:7" x14ac:dyDescent="0.2">
      <c r="A96" s="3"/>
      <c r="D96" s="2"/>
      <c r="E96" s="2"/>
      <c r="F96" s="6"/>
      <c r="G96" s="4"/>
    </row>
    <row r="97" spans="1:7" x14ac:dyDescent="0.2">
      <c r="A97" s="39"/>
      <c r="B97" s="36"/>
      <c r="C97" s="39"/>
      <c r="D97" s="36"/>
      <c r="E97" s="36"/>
      <c r="F97" s="37"/>
      <c r="G97" s="38"/>
    </row>
    <row r="98" spans="1:7" x14ac:dyDescent="0.2">
      <c r="A98" s="39"/>
      <c r="B98" s="36"/>
      <c r="C98" s="39"/>
      <c r="D98" s="36"/>
      <c r="E98" s="36"/>
      <c r="F98" s="37"/>
      <c r="G98" s="38"/>
    </row>
    <row r="99" spans="1:7" x14ac:dyDescent="0.2">
      <c r="A99" s="3"/>
      <c r="B99" s="2"/>
      <c r="D99" s="2"/>
      <c r="E99" s="2"/>
      <c r="F99" s="6"/>
      <c r="G99" s="4"/>
    </row>
    <row r="100" spans="1:7" x14ac:dyDescent="0.2">
      <c r="C100" s="1"/>
    </row>
    <row r="101" spans="1:7" x14ac:dyDescent="0.2">
      <c r="C101" s="1"/>
    </row>
    <row r="102" spans="1:7" x14ac:dyDescent="0.2">
      <c r="C102" s="1"/>
    </row>
    <row r="103" spans="1:7" x14ac:dyDescent="0.2">
      <c r="C103" s="1"/>
    </row>
    <row r="104" spans="1:7" x14ac:dyDescent="0.2">
      <c r="A104" s="26"/>
      <c r="B104" s="27"/>
      <c r="D104" s="27"/>
      <c r="E104" s="27"/>
      <c r="F104" s="29"/>
      <c r="G104" s="28"/>
    </row>
    <row r="105" spans="1:7" x14ac:dyDescent="0.2">
      <c r="A105" s="26"/>
      <c r="B105" s="27"/>
      <c r="D105" s="27"/>
      <c r="E105" s="27"/>
      <c r="F105" s="29"/>
      <c r="G105" s="28"/>
    </row>
    <row r="106" spans="1:7" x14ac:dyDescent="0.2">
      <c r="A106" s="26"/>
      <c r="B106" s="27"/>
      <c r="D106" s="27"/>
      <c r="E106" s="27"/>
      <c r="F106" s="29"/>
      <c r="G106" s="28"/>
    </row>
    <row r="107" spans="1:7" x14ac:dyDescent="0.2">
      <c r="A107" s="3"/>
      <c r="B107" s="9"/>
      <c r="F107" s="6"/>
      <c r="G107" s="4"/>
    </row>
    <row r="108" spans="1:7" x14ac:dyDescent="0.2">
      <c r="A108" s="20"/>
      <c r="B108" s="22"/>
      <c r="C108" s="20"/>
      <c r="D108" s="22"/>
      <c r="E108" s="22"/>
      <c r="F108" s="24"/>
      <c r="G108" s="23"/>
    </row>
    <row r="109" spans="1:7" x14ac:dyDescent="0.2">
      <c r="A109" s="20"/>
      <c r="B109" s="22"/>
      <c r="C109" s="20"/>
      <c r="D109" s="22"/>
      <c r="E109" s="22"/>
      <c r="F109" s="24"/>
      <c r="G109" s="23"/>
    </row>
    <row r="110" spans="1:7" x14ac:dyDescent="0.2">
      <c r="A110" s="3"/>
      <c r="F110" s="6"/>
      <c r="G110" s="5"/>
    </row>
    <row r="111" spans="1:7" x14ac:dyDescent="0.2">
      <c r="A111" s="3"/>
      <c r="B111" s="2"/>
      <c r="F111" s="6"/>
      <c r="G111" s="5"/>
    </row>
    <row r="113" spans="1:7" x14ac:dyDescent="0.2">
      <c r="A113" s="8"/>
    </row>
    <row r="114" spans="1:7" x14ac:dyDescent="0.2">
      <c r="A114" s="25"/>
      <c r="B114" s="25"/>
      <c r="C114" s="25"/>
      <c r="D114" s="10"/>
      <c r="E114" s="10"/>
      <c r="F114" s="10"/>
      <c r="G114" s="10"/>
    </row>
    <row r="115" spans="1:7" x14ac:dyDescent="0.2">
      <c r="A115" s="20"/>
      <c r="B115" s="22"/>
      <c r="C115" s="20"/>
      <c r="D115" s="21"/>
      <c r="E115" s="21"/>
      <c r="F115" s="24"/>
      <c r="G115" s="19"/>
    </row>
    <row r="116" spans="1:7" x14ac:dyDescent="0.2">
      <c r="A116" s="20"/>
      <c r="B116" s="21"/>
      <c r="C116" s="20"/>
      <c r="D116" s="21"/>
      <c r="E116" s="21"/>
      <c r="F116" s="24"/>
      <c r="G116" s="19"/>
    </row>
    <row r="117" spans="1:7" x14ac:dyDescent="0.2">
      <c r="A117" s="40"/>
      <c r="B117" s="41"/>
      <c r="C117" s="40"/>
      <c r="D117" s="41"/>
      <c r="E117" s="41"/>
      <c r="F117" s="42"/>
      <c r="G117" s="43"/>
    </row>
    <row r="118" spans="1:7" x14ac:dyDescent="0.2">
      <c r="A118" s="50"/>
      <c r="B118" s="50"/>
      <c r="C118" s="50"/>
      <c r="D118" s="41"/>
      <c r="E118" s="41"/>
      <c r="F118" s="42"/>
      <c r="G118" s="43"/>
    </row>
    <row r="119" spans="1:7" x14ac:dyDescent="0.2">
      <c r="A119" s="40"/>
      <c r="B119" s="41"/>
      <c r="C119" s="40"/>
      <c r="D119" s="41"/>
      <c r="E119" s="41"/>
      <c r="F119" s="42"/>
      <c r="G119" s="43"/>
    </row>
    <row r="120" spans="1:7" x14ac:dyDescent="0.2">
      <c r="A120" s="3"/>
      <c r="B120" s="2"/>
      <c r="D120" s="2"/>
      <c r="E120" s="2"/>
      <c r="F120" s="6"/>
      <c r="G120" s="4"/>
    </row>
    <row r="121" spans="1:7" x14ac:dyDescent="0.2">
      <c r="C121" s="1"/>
      <c r="D121" s="2"/>
      <c r="E121" s="2"/>
      <c r="F121" s="6"/>
      <c r="G121" s="4"/>
    </row>
    <row r="122" spans="1:7" x14ac:dyDescent="0.2">
      <c r="A122" s="39"/>
      <c r="B122" s="36"/>
      <c r="C122" s="39"/>
      <c r="D122" s="2"/>
      <c r="E122" s="2"/>
      <c r="F122" s="6"/>
      <c r="G122" s="4"/>
    </row>
    <row r="123" spans="1:7" x14ac:dyDescent="0.2">
      <c r="A123" s="39"/>
      <c r="B123" s="36"/>
      <c r="C123" s="39"/>
      <c r="D123" s="2"/>
      <c r="E123" s="2"/>
      <c r="F123" s="6"/>
      <c r="G123" s="4"/>
    </row>
    <row r="124" spans="1:7" x14ac:dyDescent="0.2">
      <c r="A124" s="3"/>
      <c r="B124" s="2"/>
      <c r="D124" s="2"/>
      <c r="E124" s="2"/>
      <c r="F124" s="6"/>
      <c r="G124" s="4"/>
    </row>
    <row r="125" spans="1:7" x14ac:dyDescent="0.2">
      <c r="C125" s="1"/>
      <c r="D125" s="2"/>
      <c r="E125" s="2"/>
      <c r="F125" s="6"/>
      <c r="G125" s="4"/>
    </row>
    <row r="126" spans="1:7" x14ac:dyDescent="0.2">
      <c r="A126" s="3"/>
      <c r="B126" s="2"/>
      <c r="D126" s="2"/>
      <c r="E126" s="2"/>
      <c r="F126" s="6"/>
      <c r="G126" s="4"/>
    </row>
    <row r="127" spans="1:7" x14ac:dyDescent="0.2">
      <c r="A127" s="3"/>
      <c r="B127" s="2"/>
      <c r="D127" s="2"/>
      <c r="E127" s="2"/>
      <c r="F127" s="6"/>
      <c r="G127" s="4"/>
    </row>
    <row r="128" spans="1:7" x14ac:dyDescent="0.2">
      <c r="A128" s="3"/>
      <c r="B128" s="2"/>
      <c r="D128" s="2"/>
      <c r="E128" s="2"/>
      <c r="F128" s="6"/>
      <c r="G128" s="4"/>
    </row>
    <row r="129" spans="1:7" x14ac:dyDescent="0.2">
      <c r="C129" s="1"/>
      <c r="D129" s="2"/>
      <c r="E129" s="2"/>
      <c r="F129" s="6"/>
      <c r="G129" s="4"/>
    </row>
    <row r="130" spans="1:7" x14ac:dyDescent="0.2">
      <c r="A130" s="3"/>
      <c r="B130" s="2"/>
      <c r="D130" s="2"/>
      <c r="E130" s="2"/>
      <c r="F130" s="6"/>
      <c r="G130" s="4"/>
    </row>
    <row r="131" spans="1:7" x14ac:dyDescent="0.2">
      <c r="A131" s="3"/>
      <c r="B131" s="2"/>
      <c r="D131" s="2"/>
      <c r="E131" s="2"/>
      <c r="F131" s="6"/>
      <c r="G131" s="4"/>
    </row>
    <row r="132" spans="1:7" x14ac:dyDescent="0.2">
      <c r="A132" s="3"/>
      <c r="B132" s="2"/>
      <c r="D132" s="2"/>
      <c r="E132" s="2"/>
      <c r="F132" s="6"/>
      <c r="G132" s="4"/>
    </row>
    <row r="133" spans="1:7" x14ac:dyDescent="0.2">
      <c r="A133" s="3"/>
      <c r="B133" s="2"/>
      <c r="F133" s="6"/>
      <c r="G133" s="5"/>
    </row>
    <row r="134" spans="1:7" x14ac:dyDescent="0.2">
      <c r="A134" s="3"/>
      <c r="B134" s="2"/>
      <c r="D134" s="2"/>
      <c r="E134" s="2"/>
      <c r="F134" s="6"/>
      <c r="G134" s="4"/>
    </row>
    <row r="135" spans="1:7" x14ac:dyDescent="0.2">
      <c r="A135" s="3"/>
      <c r="B135" s="2"/>
      <c r="D135" s="2"/>
      <c r="E135" s="2"/>
      <c r="F135" s="6"/>
      <c r="G135" s="4"/>
    </row>
    <row r="137" spans="1:7" x14ac:dyDescent="0.2">
      <c r="A137" s="228"/>
      <c r="B137" s="228"/>
      <c r="C137" s="34"/>
      <c r="D137" s="34"/>
      <c r="E137" s="34"/>
      <c r="F137" s="34"/>
      <c r="G137" s="34"/>
    </row>
    <row r="138" spans="1:7" x14ac:dyDescent="0.2">
      <c r="A138" s="35"/>
      <c r="B138" s="35"/>
      <c r="C138" s="35"/>
      <c r="D138" s="35"/>
      <c r="E138" s="35"/>
      <c r="F138" s="35"/>
      <c r="G138" s="35"/>
    </row>
    <row r="139" spans="1:7" x14ac:dyDescent="0.2">
      <c r="A139" s="3"/>
      <c r="B139" s="2"/>
      <c r="D139" s="2"/>
      <c r="E139" s="2"/>
      <c r="F139" s="6"/>
      <c r="G139" s="4"/>
    </row>
    <row r="140" spans="1:7" x14ac:dyDescent="0.2">
      <c r="A140" s="3"/>
      <c r="B140" s="2"/>
      <c r="D140" s="2"/>
      <c r="E140" s="2"/>
      <c r="F140" s="6"/>
      <c r="G140" s="4"/>
    </row>
    <row r="141" spans="1:7" x14ac:dyDescent="0.2">
      <c r="A141" s="3"/>
      <c r="B141" s="2"/>
      <c r="D141" s="2"/>
      <c r="E141" s="2"/>
      <c r="F141" s="6"/>
      <c r="G141" s="4"/>
    </row>
    <row r="142" spans="1:7" x14ac:dyDescent="0.2">
      <c r="A142" s="3"/>
      <c r="B142" s="2"/>
      <c r="D142" s="2"/>
      <c r="E142" s="2"/>
      <c r="F142" s="6"/>
      <c r="G142" s="4"/>
    </row>
    <row r="143" spans="1:7" x14ac:dyDescent="0.2">
      <c r="A143" s="3"/>
      <c r="B143" s="2"/>
      <c r="D143" s="2"/>
      <c r="E143" s="2"/>
      <c r="F143" s="6"/>
      <c r="G143" s="4"/>
    </row>
    <row r="144" spans="1:7" x14ac:dyDescent="0.2">
      <c r="A144" s="3"/>
      <c r="B144" s="2"/>
      <c r="D144" s="2"/>
      <c r="E144" s="2"/>
      <c r="F144" s="6"/>
      <c r="G144" s="4"/>
    </row>
    <row r="145" spans="1:7" x14ac:dyDescent="0.2">
      <c r="A145" s="3"/>
      <c r="B145" s="2"/>
      <c r="D145" s="2"/>
      <c r="E145" s="2"/>
      <c r="F145" s="6"/>
      <c r="G145" s="4"/>
    </row>
    <row r="146" spans="1:7" x14ac:dyDescent="0.2">
      <c r="A146" s="3"/>
      <c r="B146" s="2"/>
      <c r="D146" s="2"/>
      <c r="E146" s="2"/>
      <c r="F146" s="6"/>
      <c r="G146" s="4"/>
    </row>
    <row r="147" spans="1:7" x14ac:dyDescent="0.2">
      <c r="A147" s="3"/>
      <c r="B147" s="2"/>
      <c r="F147" s="6"/>
      <c r="G147" s="4"/>
    </row>
    <row r="148" spans="1:7" x14ac:dyDescent="0.2">
      <c r="A148" s="3"/>
      <c r="B148" s="2"/>
      <c r="F148" s="6"/>
      <c r="G148" s="4"/>
    </row>
    <row r="149" spans="1:7" x14ac:dyDescent="0.2">
      <c r="A149" s="3"/>
      <c r="B149" s="2"/>
      <c r="F149" s="6"/>
      <c r="G149" s="4"/>
    </row>
    <row r="150" spans="1:7" x14ac:dyDescent="0.2">
      <c r="A150" s="3"/>
      <c r="B150" s="2"/>
      <c r="F150" s="6"/>
      <c r="G150" s="4"/>
    </row>
    <row r="151" spans="1:7" x14ac:dyDescent="0.2">
      <c r="A151" s="3"/>
      <c r="B151" s="2"/>
      <c r="D151" s="2"/>
      <c r="E151" s="2"/>
      <c r="F151" s="6"/>
      <c r="G151" s="4"/>
    </row>
    <row r="152" spans="1:7" x14ac:dyDescent="0.2">
      <c r="A152" s="3"/>
      <c r="B152" s="2"/>
      <c r="D152" s="2"/>
      <c r="E152" s="2"/>
      <c r="F152" s="5"/>
      <c r="G152" s="5"/>
    </row>
    <row r="153" spans="1:7" x14ac:dyDescent="0.2">
      <c r="A153" s="3"/>
      <c r="B153" s="2"/>
      <c r="D153" s="2"/>
      <c r="E153" s="2"/>
      <c r="F153" s="4"/>
      <c r="G153" s="4"/>
    </row>
    <row r="154" spans="1:7" x14ac:dyDescent="0.2">
      <c r="A154" s="3"/>
      <c r="B154" s="2"/>
      <c r="D154" s="2"/>
      <c r="E154" s="2"/>
      <c r="F154" s="5"/>
      <c r="G154" s="4"/>
    </row>
    <row r="174" spans="1:7" ht="12.75" customHeight="1" x14ac:dyDescent="0.2">
      <c r="A174" s="226"/>
      <c r="B174" s="226"/>
      <c r="C174" s="226"/>
      <c r="D174" s="226"/>
      <c r="E174" s="226"/>
      <c r="F174" s="226"/>
      <c r="G174" s="226"/>
    </row>
    <row r="175" spans="1:7" ht="12.75" customHeight="1" x14ac:dyDescent="0.2">
      <c r="A175" s="226"/>
      <c r="B175" s="226"/>
      <c r="C175" s="226"/>
      <c r="D175" s="226"/>
      <c r="E175" s="226"/>
      <c r="F175" s="226"/>
      <c r="G175" s="226"/>
    </row>
    <row r="176" spans="1:7" ht="12.75" customHeight="1" x14ac:dyDescent="0.2">
      <c r="A176" s="226"/>
      <c r="B176" s="226"/>
      <c r="C176" s="226"/>
      <c r="D176" s="226"/>
      <c r="E176" s="226"/>
      <c r="F176" s="226"/>
      <c r="G176" s="226"/>
    </row>
    <row r="177" spans="1:7" x14ac:dyDescent="0.2">
      <c r="D177" s="2"/>
      <c r="E177" s="2"/>
      <c r="F177" s="2"/>
      <c r="G177" s="2"/>
    </row>
    <row r="178" spans="1:7" x14ac:dyDescent="0.2">
      <c r="A178" s="228"/>
      <c r="B178" s="228"/>
      <c r="C178" s="34"/>
      <c r="D178" s="34"/>
      <c r="E178" s="34"/>
      <c r="F178" s="34"/>
      <c r="G178" s="34"/>
    </row>
    <row r="179" spans="1:7" x14ac:dyDescent="0.2">
      <c r="A179" s="35"/>
      <c r="B179" s="35"/>
      <c r="C179" s="35"/>
      <c r="D179" s="35"/>
      <c r="E179" s="35"/>
      <c r="F179" s="35"/>
      <c r="G179" s="35"/>
    </row>
    <row r="180" spans="1:7" x14ac:dyDescent="0.2">
      <c r="A180" s="3"/>
      <c r="B180" s="2"/>
      <c r="D180" s="2"/>
      <c r="E180" s="2"/>
      <c r="F180" s="6"/>
      <c r="G180" s="4"/>
    </row>
    <row r="181" spans="1:7" x14ac:dyDescent="0.2">
      <c r="C181" s="1"/>
      <c r="D181" s="2"/>
      <c r="E181" s="2"/>
      <c r="F181" s="6"/>
      <c r="G181" s="4"/>
    </row>
    <row r="182" spans="1:7" x14ac:dyDescent="0.2">
      <c r="A182" s="3"/>
      <c r="B182" s="2"/>
      <c r="D182" s="2"/>
      <c r="E182" s="2"/>
      <c r="F182" s="6"/>
      <c r="G182" s="4"/>
    </row>
    <row r="183" spans="1:7" x14ac:dyDescent="0.2">
      <c r="A183" s="3"/>
      <c r="B183" s="2"/>
      <c r="D183" s="2"/>
      <c r="E183" s="2"/>
      <c r="F183" s="6"/>
      <c r="G183" s="4"/>
    </row>
    <row r="184" spans="1:7" x14ac:dyDescent="0.2">
      <c r="A184" s="3"/>
      <c r="B184" s="2"/>
      <c r="D184" s="2"/>
      <c r="E184" s="2"/>
      <c r="F184" s="6"/>
      <c r="G184" s="4"/>
    </row>
    <row r="185" spans="1:7" x14ac:dyDescent="0.2">
      <c r="C185" s="1"/>
      <c r="D185" s="2"/>
      <c r="E185" s="2"/>
      <c r="F185" s="6"/>
      <c r="G185" s="4"/>
    </row>
    <row r="186" spans="1:7" x14ac:dyDescent="0.2">
      <c r="A186" s="3"/>
      <c r="B186" s="2"/>
      <c r="D186" s="2"/>
      <c r="E186" s="2"/>
      <c r="F186" s="6"/>
      <c r="G186" s="4"/>
    </row>
    <row r="187" spans="1:7" x14ac:dyDescent="0.2">
      <c r="A187" s="3"/>
      <c r="B187" s="2"/>
      <c r="D187" s="2"/>
      <c r="E187" s="2"/>
      <c r="F187" s="6"/>
      <c r="G187" s="4"/>
    </row>
    <row r="188" spans="1:7" x14ac:dyDescent="0.2">
      <c r="A188" s="40"/>
      <c r="B188" s="41"/>
      <c r="C188" s="40"/>
      <c r="D188" s="41"/>
      <c r="E188" s="41"/>
      <c r="F188" s="42"/>
      <c r="G188" s="43"/>
    </row>
    <row r="189" spans="1:7" x14ac:dyDescent="0.2">
      <c r="A189" s="50"/>
      <c r="B189" s="50"/>
      <c r="C189" s="50"/>
      <c r="D189" s="41"/>
      <c r="E189" s="41"/>
      <c r="F189" s="42"/>
      <c r="G189" s="43"/>
    </row>
    <row r="190" spans="1:7" x14ac:dyDescent="0.2">
      <c r="A190" s="40"/>
      <c r="B190" s="41"/>
      <c r="C190" s="40"/>
      <c r="D190" s="41"/>
      <c r="E190" s="41"/>
      <c r="F190" s="42"/>
      <c r="G190" s="43"/>
    </row>
    <row r="191" spans="1:7" x14ac:dyDescent="0.2">
      <c r="A191" s="40"/>
      <c r="B191" s="41"/>
      <c r="C191" s="40"/>
      <c r="D191" s="41"/>
      <c r="E191" s="41"/>
      <c r="F191" s="42"/>
      <c r="G191" s="43"/>
    </row>
    <row r="192" spans="1:7" x14ac:dyDescent="0.2">
      <c r="A192" s="3"/>
      <c r="B192" s="2"/>
      <c r="F192" s="6"/>
      <c r="G192" s="5"/>
    </row>
    <row r="193" spans="1:7" x14ac:dyDescent="0.2">
      <c r="A193" s="40"/>
      <c r="B193" s="41"/>
      <c r="C193" s="40"/>
      <c r="D193" s="41"/>
      <c r="E193" s="41"/>
      <c r="F193" s="42"/>
      <c r="G193" s="43"/>
    </row>
    <row r="194" spans="1:7" x14ac:dyDescent="0.2">
      <c r="A194" s="40"/>
      <c r="B194" s="41"/>
      <c r="C194" s="40"/>
      <c r="D194" s="41"/>
      <c r="E194" s="41"/>
      <c r="F194" s="42"/>
      <c r="G194" s="43"/>
    </row>
    <row r="196" spans="1:7" x14ac:dyDescent="0.2">
      <c r="A196" s="228"/>
      <c r="B196" s="228"/>
      <c r="C196" s="34"/>
      <c r="D196" s="34"/>
      <c r="E196" s="34"/>
      <c r="F196" s="34"/>
      <c r="G196" s="34"/>
    </row>
    <row r="197" spans="1:7" x14ac:dyDescent="0.2">
      <c r="A197" s="35"/>
      <c r="B197" s="35"/>
      <c r="C197" s="35"/>
      <c r="D197" s="35"/>
      <c r="E197" s="35"/>
      <c r="F197" s="35"/>
      <c r="G197" s="35"/>
    </row>
    <row r="198" spans="1:7" x14ac:dyDescent="0.2">
      <c r="A198" s="3"/>
      <c r="B198" s="2"/>
      <c r="D198" s="2"/>
      <c r="E198" s="2"/>
      <c r="F198" s="6"/>
      <c r="G198" s="4"/>
    </row>
    <row r="199" spans="1:7" x14ac:dyDescent="0.2">
      <c r="C199" s="1"/>
      <c r="D199" s="2"/>
      <c r="E199" s="2"/>
      <c r="F199" s="6"/>
      <c r="G199" s="4"/>
    </row>
    <row r="200" spans="1:7" x14ac:dyDescent="0.2">
      <c r="A200" s="3"/>
      <c r="B200" s="2"/>
      <c r="D200" s="41"/>
      <c r="E200" s="41"/>
      <c r="F200" s="42"/>
      <c r="G200" s="43"/>
    </row>
    <row r="201" spans="1:7" x14ac:dyDescent="0.2">
      <c r="A201" s="3"/>
      <c r="B201" s="2"/>
      <c r="D201" s="41"/>
      <c r="E201" s="41"/>
      <c r="F201" s="42"/>
      <c r="G201" s="43"/>
    </row>
    <row r="202" spans="1:7" x14ac:dyDescent="0.2">
      <c r="A202" s="3"/>
      <c r="B202" s="2"/>
      <c r="D202" s="2"/>
      <c r="E202" s="2"/>
      <c r="F202" s="6"/>
      <c r="G202" s="4"/>
    </row>
    <row r="203" spans="1:7" x14ac:dyDescent="0.2">
      <c r="C203" s="1"/>
      <c r="D203" s="41"/>
      <c r="E203" s="41"/>
      <c r="F203" s="42"/>
      <c r="G203" s="43"/>
    </row>
    <row r="204" spans="1:7" x14ac:dyDescent="0.2">
      <c r="A204" s="3"/>
      <c r="B204" s="2"/>
      <c r="D204" s="41"/>
      <c r="E204" s="41"/>
      <c r="F204" s="42"/>
      <c r="G204" s="43"/>
    </row>
    <row r="205" spans="1:7" x14ac:dyDescent="0.2">
      <c r="A205" s="3"/>
      <c r="B205" s="2"/>
      <c r="D205" s="41"/>
      <c r="E205" s="41"/>
      <c r="F205" s="42"/>
      <c r="G205" s="43"/>
    </row>
    <row r="206" spans="1:7" x14ac:dyDescent="0.2">
      <c r="A206" s="40"/>
      <c r="B206" s="41"/>
      <c r="C206" s="40"/>
      <c r="D206" s="41"/>
      <c r="E206" s="41"/>
      <c r="F206" s="42"/>
      <c r="G206" s="43"/>
    </row>
    <row r="207" spans="1:7" x14ac:dyDescent="0.2">
      <c r="A207" s="50"/>
      <c r="B207" s="50"/>
      <c r="C207" s="50"/>
      <c r="D207" s="41"/>
      <c r="E207" s="41"/>
      <c r="F207" s="42"/>
      <c r="G207" s="43"/>
    </row>
    <row r="208" spans="1:7" x14ac:dyDescent="0.2">
      <c r="A208" s="40"/>
      <c r="B208" s="41"/>
      <c r="C208" s="40"/>
      <c r="D208" s="41"/>
      <c r="E208" s="41"/>
      <c r="F208" s="42"/>
      <c r="G208" s="43"/>
    </row>
    <row r="209" spans="1:7" x14ac:dyDescent="0.2">
      <c r="A209" s="40"/>
      <c r="B209" s="41"/>
      <c r="C209" s="40"/>
      <c r="D209" s="41"/>
      <c r="E209" s="41"/>
      <c r="F209" s="42"/>
      <c r="G209" s="43"/>
    </row>
    <row r="210" spans="1:7" x14ac:dyDescent="0.2">
      <c r="A210" s="40"/>
      <c r="B210" s="41"/>
      <c r="C210" s="40"/>
      <c r="D210" s="50"/>
      <c r="E210" s="50"/>
      <c r="F210" s="42"/>
      <c r="G210" s="51"/>
    </row>
    <row r="211" spans="1:7" x14ac:dyDescent="0.2">
      <c r="A211" s="40"/>
      <c r="B211" s="41"/>
      <c r="C211" s="40"/>
      <c r="D211" s="41"/>
      <c r="E211" s="41"/>
      <c r="F211" s="42"/>
      <c r="G211" s="43"/>
    </row>
    <row r="212" spans="1:7" x14ac:dyDescent="0.2">
      <c r="A212" s="40"/>
      <c r="B212" s="41"/>
      <c r="C212" s="40"/>
      <c r="D212" s="41"/>
      <c r="E212" s="41"/>
      <c r="F212" s="42"/>
      <c r="G212" s="43"/>
    </row>
  </sheetData>
  <mergeCells count="11">
    <mergeCell ref="A1:G3"/>
    <mergeCell ref="E6:F6"/>
    <mergeCell ref="A5:B5"/>
    <mergeCell ref="A40:B40"/>
    <mergeCell ref="A47:B47"/>
    <mergeCell ref="E23:F23"/>
    <mergeCell ref="A196:B196"/>
    <mergeCell ref="A75:B75"/>
    <mergeCell ref="A137:B137"/>
    <mergeCell ref="A174:G176"/>
    <mergeCell ref="A178:B178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F558-B8C9-4BC4-8FD0-C5C16C5A48BA}">
  <sheetPr codeName="Blad4"/>
  <dimension ref="A1:K103"/>
  <sheetViews>
    <sheetView showGridLines="0" zoomScaleNormal="100" workbookViewId="0">
      <selection activeCell="J27" sqref="J27"/>
    </sheetView>
  </sheetViews>
  <sheetFormatPr defaultColWidth="9.140625" defaultRowHeight="12.75" x14ac:dyDescent="0.2"/>
  <cols>
    <col min="1" max="1" width="13.7109375" style="1" customWidth="1"/>
    <col min="2" max="2" width="11.5703125" style="1" customWidth="1"/>
    <col min="3" max="3" width="20.28515625" style="3" customWidth="1"/>
    <col min="4" max="4" width="8.140625" style="1" customWidth="1"/>
    <col min="5" max="5" width="2" style="1" customWidth="1"/>
    <col min="6" max="6" width="19.42578125" style="1" customWidth="1"/>
    <col min="7" max="7" width="20.42578125" style="1" customWidth="1"/>
    <col min="8" max="8" width="9.140625" style="1"/>
    <col min="9" max="11" width="9.140625" style="6"/>
    <col min="12" max="16384" width="9.140625" style="1"/>
  </cols>
  <sheetData>
    <row r="1" spans="1:8" ht="12.75" customHeight="1" x14ac:dyDescent="0.2">
      <c r="A1" s="226"/>
      <c r="B1" s="226"/>
      <c r="C1" s="226"/>
      <c r="D1" s="226"/>
      <c r="E1" s="226"/>
      <c r="F1" s="226"/>
      <c r="G1" s="226"/>
    </row>
    <row r="2" spans="1:8" ht="12.75" customHeight="1" x14ac:dyDescent="0.2">
      <c r="A2" s="226"/>
      <c r="B2" s="226"/>
      <c r="C2" s="226"/>
      <c r="D2" s="226"/>
      <c r="E2" s="226"/>
      <c r="F2" s="226"/>
      <c r="G2" s="226"/>
    </row>
    <row r="3" spans="1:8" ht="12.75" customHeight="1" x14ac:dyDescent="0.2">
      <c r="A3" s="226"/>
      <c r="B3" s="226"/>
      <c r="C3" s="226"/>
      <c r="D3" s="226"/>
      <c r="E3" s="226"/>
      <c r="F3" s="226"/>
      <c r="G3" s="226"/>
    </row>
    <row r="4" spans="1:8" x14ac:dyDescent="0.2">
      <c r="B4" s="2"/>
      <c r="D4" s="2"/>
      <c r="E4" s="2"/>
      <c r="F4" s="2"/>
      <c r="G4" s="2"/>
    </row>
    <row r="5" spans="1:8" ht="15" x14ac:dyDescent="0.2">
      <c r="A5" s="180" t="s">
        <v>90</v>
      </c>
      <c r="B5" s="180"/>
      <c r="C5" s="14"/>
      <c r="D5" s="14"/>
      <c r="E5" s="14"/>
      <c r="F5" s="14"/>
      <c r="G5" s="14"/>
    </row>
    <row r="6" spans="1:8" x14ac:dyDescent="0.2">
      <c r="A6" s="12" t="s">
        <v>1</v>
      </c>
      <c r="B6" s="11" t="s">
        <v>2</v>
      </c>
      <c r="C6" s="12" t="s">
        <v>3</v>
      </c>
      <c r="D6" s="11" t="s">
        <v>4</v>
      </c>
      <c r="E6" s="11"/>
      <c r="F6" s="11" t="s">
        <v>5</v>
      </c>
      <c r="G6" s="11" t="s">
        <v>6</v>
      </c>
    </row>
    <row r="7" spans="1:8" ht="12.75" customHeight="1" x14ac:dyDescent="0.2">
      <c r="A7" s="181">
        <v>9247</v>
      </c>
      <c r="B7" s="97" t="s">
        <v>14</v>
      </c>
      <c r="C7" s="181" t="s">
        <v>11</v>
      </c>
      <c r="D7" s="97">
        <v>1</v>
      </c>
      <c r="E7" s="97"/>
      <c r="F7" s="98">
        <v>21.6</v>
      </c>
      <c r="G7" s="99">
        <f>D7*F7</f>
        <v>21.6</v>
      </c>
    </row>
    <row r="8" spans="1:8" x14ac:dyDescent="0.2">
      <c r="A8" s="101"/>
      <c r="B8" s="101"/>
      <c r="C8" s="101"/>
      <c r="D8" s="101">
        <v>12</v>
      </c>
      <c r="E8" s="101"/>
      <c r="F8" s="98">
        <v>20.7</v>
      </c>
      <c r="G8" s="99">
        <f>D8*F8</f>
        <v>248.39999999999998</v>
      </c>
    </row>
    <row r="9" spans="1:8" x14ac:dyDescent="0.2">
      <c r="A9" s="101"/>
      <c r="B9" s="101"/>
      <c r="C9" s="101"/>
      <c r="D9" s="101">
        <v>24</v>
      </c>
      <c r="E9" s="101"/>
      <c r="F9" s="98">
        <v>19.600000000000001</v>
      </c>
      <c r="G9" s="99">
        <f>D9*F9</f>
        <v>470.40000000000003</v>
      </c>
    </row>
    <row r="10" spans="1:8" x14ac:dyDescent="0.2">
      <c r="A10" s="101"/>
      <c r="B10" s="101"/>
      <c r="C10" s="101"/>
      <c r="D10" s="101">
        <v>48</v>
      </c>
      <c r="E10" s="101"/>
      <c r="F10" s="98">
        <v>18.899999999999999</v>
      </c>
      <c r="G10" s="99">
        <f>D10*F10</f>
        <v>907.19999999999993</v>
      </c>
    </row>
    <row r="11" spans="1:8" x14ac:dyDescent="0.2">
      <c r="A11" s="122">
        <v>8489</v>
      </c>
      <c r="B11" s="123" t="s">
        <v>19</v>
      </c>
      <c r="C11" s="122" t="s">
        <v>18</v>
      </c>
      <c r="D11" s="123">
        <v>1</v>
      </c>
      <c r="E11" s="123"/>
      <c r="F11" s="132">
        <v>13.9</v>
      </c>
      <c r="G11" s="125">
        <f>F11*10</f>
        <v>139</v>
      </c>
    </row>
    <row r="12" spans="1:8" x14ac:dyDescent="0.2">
      <c r="A12" s="232" t="s">
        <v>91</v>
      </c>
      <c r="B12" s="232"/>
      <c r="C12" s="232"/>
      <c r="D12" s="232"/>
      <c r="E12" s="232"/>
      <c r="F12" s="232"/>
      <c r="G12" s="232"/>
    </row>
    <row r="13" spans="1:8" x14ac:dyDescent="0.2">
      <c r="A13" s="181">
        <v>8467</v>
      </c>
      <c r="B13" s="97" t="s">
        <v>92</v>
      </c>
      <c r="C13" s="181" t="s">
        <v>18</v>
      </c>
      <c r="D13" s="101">
        <v>1</v>
      </c>
      <c r="E13" s="101"/>
      <c r="F13" s="98">
        <v>13.7</v>
      </c>
      <c r="G13" s="99">
        <f>F13*25</f>
        <v>342.5</v>
      </c>
    </row>
    <row r="14" spans="1:8" x14ac:dyDescent="0.2">
      <c r="A14" s="122">
        <v>8588</v>
      </c>
      <c r="B14" s="123" t="s">
        <v>38</v>
      </c>
      <c r="C14" s="122" t="s">
        <v>93</v>
      </c>
      <c r="D14" s="123">
        <v>1</v>
      </c>
      <c r="E14" s="128" t="s">
        <v>23</v>
      </c>
      <c r="F14" s="132">
        <v>13.1</v>
      </c>
      <c r="G14" s="125">
        <f>F14*60</f>
        <v>786</v>
      </c>
    </row>
    <row r="15" spans="1:8" x14ac:dyDescent="0.2">
      <c r="A15" s="232" t="s">
        <v>94</v>
      </c>
      <c r="B15" s="232"/>
      <c r="C15" s="232"/>
      <c r="D15" s="123">
        <v>1</v>
      </c>
      <c r="E15" s="128" t="s">
        <v>23</v>
      </c>
      <c r="F15" s="132">
        <v>16.8</v>
      </c>
      <c r="G15" s="125">
        <f>F15*60</f>
        <v>1008</v>
      </c>
      <c r="H15" s="196"/>
    </row>
    <row r="16" spans="1:8" x14ac:dyDescent="0.2">
      <c r="A16" s="181">
        <v>8488</v>
      </c>
      <c r="B16" s="97" t="s">
        <v>25</v>
      </c>
      <c r="C16" s="181" t="s">
        <v>93</v>
      </c>
      <c r="D16" s="101">
        <v>1</v>
      </c>
      <c r="E16" s="100" t="s">
        <v>23</v>
      </c>
      <c r="F16" s="98">
        <v>12.6</v>
      </c>
      <c r="G16" s="99">
        <f>F16*200</f>
        <v>2520</v>
      </c>
    </row>
    <row r="17" spans="1:8" x14ac:dyDescent="0.2">
      <c r="A17" s="230" t="s">
        <v>94</v>
      </c>
      <c r="B17" s="230"/>
      <c r="C17" s="230"/>
      <c r="D17" s="101">
        <v>1</v>
      </c>
      <c r="E17" s="100" t="s">
        <v>23</v>
      </c>
      <c r="F17" s="98">
        <v>14.2</v>
      </c>
      <c r="G17" s="99">
        <f>F17*200</f>
        <v>2840</v>
      </c>
      <c r="H17" s="196"/>
    </row>
    <row r="18" spans="1:8" x14ac:dyDescent="0.2">
      <c r="A18" s="3"/>
      <c r="B18" s="2"/>
      <c r="D18" s="2"/>
      <c r="E18" s="2"/>
      <c r="F18" s="6"/>
      <c r="G18" s="4"/>
    </row>
    <row r="19" spans="1:8" ht="15" x14ac:dyDescent="0.2">
      <c r="A19" s="180" t="s">
        <v>95</v>
      </c>
      <c r="B19" s="180"/>
      <c r="C19" s="44"/>
      <c r="D19" s="44"/>
      <c r="E19" s="44"/>
      <c r="F19" s="44"/>
      <c r="G19" s="44"/>
    </row>
    <row r="20" spans="1:8" x14ac:dyDescent="0.2">
      <c r="A20" s="12" t="s">
        <v>1</v>
      </c>
      <c r="B20" s="11" t="s">
        <v>2</v>
      </c>
      <c r="C20" s="12" t="s">
        <v>3</v>
      </c>
      <c r="D20" s="11" t="s">
        <v>4</v>
      </c>
      <c r="E20" s="11"/>
      <c r="F20" s="11" t="s">
        <v>5</v>
      </c>
      <c r="G20" s="11" t="s">
        <v>6</v>
      </c>
    </row>
    <row r="21" spans="1:8" x14ac:dyDescent="0.2">
      <c r="A21" s="181">
        <v>8969</v>
      </c>
      <c r="B21" s="97" t="s">
        <v>19</v>
      </c>
      <c r="C21" s="181" t="s">
        <v>18</v>
      </c>
      <c r="D21" s="97">
        <v>1</v>
      </c>
      <c r="E21" s="97"/>
      <c r="F21" s="98">
        <v>21.3</v>
      </c>
      <c r="G21" s="99">
        <f>F21*10</f>
        <v>213</v>
      </c>
    </row>
    <row r="22" spans="1:8" ht="12.75" customHeight="1" x14ac:dyDescent="0.2">
      <c r="A22" s="122">
        <v>8970</v>
      </c>
      <c r="B22" s="123" t="s">
        <v>20</v>
      </c>
      <c r="C22" s="122" t="s">
        <v>18</v>
      </c>
      <c r="D22" s="124">
        <v>1</v>
      </c>
      <c r="E22" s="124"/>
      <c r="F22" s="132">
        <v>20.7</v>
      </c>
      <c r="G22" s="125">
        <f>F22*20</f>
        <v>414</v>
      </c>
    </row>
    <row r="23" spans="1:8" x14ac:dyDescent="0.2">
      <c r="A23" s="181">
        <v>8971</v>
      </c>
      <c r="B23" s="97" t="s">
        <v>38</v>
      </c>
      <c r="C23" s="181" t="s">
        <v>93</v>
      </c>
      <c r="D23" s="97">
        <v>1</v>
      </c>
      <c r="E23" s="97"/>
      <c r="F23" s="98">
        <v>20.3</v>
      </c>
      <c r="G23" s="99">
        <f>F23*60</f>
        <v>1218</v>
      </c>
    </row>
    <row r="24" spans="1:8" x14ac:dyDescent="0.2">
      <c r="A24" s="230" t="s">
        <v>94</v>
      </c>
      <c r="B24" s="230"/>
      <c r="C24" s="230"/>
      <c r="D24" s="97">
        <v>1</v>
      </c>
      <c r="E24" s="100"/>
      <c r="F24" s="98">
        <v>24</v>
      </c>
      <c r="G24" s="99">
        <f>F24*60</f>
        <v>1440</v>
      </c>
      <c r="H24" s="196"/>
    </row>
    <row r="25" spans="1:8" x14ac:dyDescent="0.2">
      <c r="A25" s="122">
        <v>8972</v>
      </c>
      <c r="B25" s="123" t="s">
        <v>25</v>
      </c>
      <c r="C25" s="122" t="s">
        <v>93</v>
      </c>
      <c r="D25" s="124">
        <v>1</v>
      </c>
      <c r="E25" s="128"/>
      <c r="F25" s="132">
        <v>19.7</v>
      </c>
      <c r="G25" s="125">
        <f>F25*200</f>
        <v>3940</v>
      </c>
    </row>
    <row r="26" spans="1:8" x14ac:dyDescent="0.2">
      <c r="A26" s="232" t="s">
        <v>94</v>
      </c>
      <c r="B26" s="232"/>
      <c r="C26" s="232"/>
      <c r="D26" s="124">
        <v>1</v>
      </c>
      <c r="E26" s="128"/>
      <c r="F26" s="132">
        <v>21.3</v>
      </c>
      <c r="G26" s="125">
        <f>F26*200</f>
        <v>4260</v>
      </c>
      <c r="H26" s="196"/>
    </row>
    <row r="27" spans="1:8" x14ac:dyDescent="0.2">
      <c r="A27" s="34"/>
      <c r="B27" s="34"/>
      <c r="C27" s="34"/>
      <c r="D27" s="34"/>
      <c r="E27" s="34"/>
      <c r="F27" s="34"/>
      <c r="G27" s="34"/>
    </row>
    <row r="28" spans="1:8" ht="15" x14ac:dyDescent="0.2">
      <c r="A28" s="180" t="s">
        <v>96</v>
      </c>
      <c r="B28" s="180"/>
      <c r="C28" s="14"/>
      <c r="D28" s="14"/>
      <c r="E28" s="14"/>
      <c r="F28" s="14"/>
      <c r="G28" s="14"/>
    </row>
    <row r="29" spans="1:8" x14ac:dyDescent="0.2">
      <c r="A29" s="12" t="s">
        <v>1</v>
      </c>
      <c r="B29" s="11" t="s">
        <v>2</v>
      </c>
      <c r="C29" s="12" t="s">
        <v>3</v>
      </c>
      <c r="D29" s="11" t="s">
        <v>4</v>
      </c>
      <c r="E29" s="11"/>
      <c r="F29" s="11" t="s">
        <v>5</v>
      </c>
      <c r="G29" s="11" t="s">
        <v>6</v>
      </c>
    </row>
    <row r="30" spans="1:8" x14ac:dyDescent="0.2">
      <c r="A30" s="181">
        <v>9195</v>
      </c>
      <c r="B30" s="97" t="s">
        <v>14</v>
      </c>
      <c r="C30" s="181" t="s">
        <v>11</v>
      </c>
      <c r="D30" s="97">
        <v>1</v>
      </c>
      <c r="E30" s="97"/>
      <c r="F30" s="98">
        <v>14.3</v>
      </c>
      <c r="G30" s="99">
        <f>D30*F30</f>
        <v>14.3</v>
      </c>
    </row>
    <row r="31" spans="1:8" x14ac:dyDescent="0.2">
      <c r="A31" s="101"/>
      <c r="B31" s="101"/>
      <c r="C31" s="101"/>
      <c r="D31" s="101">
        <v>12</v>
      </c>
      <c r="E31" s="101"/>
      <c r="F31" s="98">
        <v>12.3</v>
      </c>
      <c r="G31" s="99">
        <f>D31*F31</f>
        <v>147.60000000000002</v>
      </c>
    </row>
    <row r="32" spans="1:8" x14ac:dyDescent="0.2">
      <c r="A32" s="101"/>
      <c r="B32" s="101"/>
      <c r="C32" s="101"/>
      <c r="D32" s="101">
        <v>24</v>
      </c>
      <c r="E32" s="101"/>
      <c r="F32" s="98">
        <v>11.7</v>
      </c>
      <c r="G32" s="99">
        <f>D32*F32</f>
        <v>280.79999999999995</v>
      </c>
    </row>
    <row r="33" spans="1:7" x14ac:dyDescent="0.2">
      <c r="A33" s="101"/>
      <c r="B33" s="101"/>
      <c r="C33" s="101"/>
      <c r="D33" s="101">
        <v>48</v>
      </c>
      <c r="E33" s="101"/>
      <c r="F33" s="98">
        <v>11.3</v>
      </c>
      <c r="G33" s="99">
        <f>D33*F33</f>
        <v>542.40000000000009</v>
      </c>
    </row>
    <row r="34" spans="1:7" x14ac:dyDescent="0.2">
      <c r="A34" s="40"/>
      <c r="B34" s="41"/>
      <c r="C34" s="40"/>
      <c r="D34" s="41"/>
      <c r="E34" s="41"/>
      <c r="F34" s="42"/>
      <c r="G34" s="43"/>
    </row>
    <row r="35" spans="1:7" ht="15" x14ac:dyDescent="0.2">
      <c r="A35" s="180" t="s">
        <v>97</v>
      </c>
      <c r="B35" s="180"/>
      <c r="C35" s="14"/>
      <c r="D35" s="14"/>
      <c r="E35" s="14"/>
      <c r="F35" s="14"/>
      <c r="G35" s="14"/>
    </row>
    <row r="36" spans="1:7" x14ac:dyDescent="0.2">
      <c r="A36" s="12" t="s">
        <v>1</v>
      </c>
      <c r="B36" s="11" t="s">
        <v>2</v>
      </c>
      <c r="C36" s="12" t="s">
        <v>3</v>
      </c>
      <c r="D36" s="11" t="s">
        <v>4</v>
      </c>
      <c r="E36" s="11"/>
      <c r="F36" s="11" t="s">
        <v>5</v>
      </c>
      <c r="G36" s="11" t="s">
        <v>6</v>
      </c>
    </row>
    <row r="37" spans="1:7" ht="12.75" customHeight="1" x14ac:dyDescent="0.2">
      <c r="A37" s="181">
        <v>9787</v>
      </c>
      <c r="B37" s="97" t="s">
        <v>14</v>
      </c>
      <c r="C37" s="181" t="s">
        <v>11</v>
      </c>
      <c r="D37" s="97">
        <v>1</v>
      </c>
      <c r="E37" s="97"/>
      <c r="F37" s="98">
        <v>17.2</v>
      </c>
      <c r="G37" s="99">
        <f>D37*F37</f>
        <v>17.2</v>
      </c>
    </row>
    <row r="38" spans="1:7" x14ac:dyDescent="0.2">
      <c r="A38" s="101"/>
      <c r="B38" s="101"/>
      <c r="C38" s="101"/>
      <c r="D38" s="101">
        <v>12</v>
      </c>
      <c r="E38" s="101"/>
      <c r="F38" s="98">
        <v>15.2</v>
      </c>
      <c r="G38" s="99">
        <f>D38*F38</f>
        <v>182.39999999999998</v>
      </c>
    </row>
    <row r="39" spans="1:7" x14ac:dyDescent="0.2">
      <c r="A39" s="101"/>
      <c r="B39" s="101"/>
      <c r="C39" s="101"/>
      <c r="D39" s="101">
        <v>24</v>
      </c>
      <c r="E39" s="101"/>
      <c r="F39" s="98">
        <v>14.3</v>
      </c>
      <c r="G39" s="99">
        <f>D39*F39</f>
        <v>343.20000000000005</v>
      </c>
    </row>
    <row r="40" spans="1:7" x14ac:dyDescent="0.2">
      <c r="A40" s="101"/>
      <c r="B40" s="101"/>
      <c r="C40" s="101"/>
      <c r="D40" s="101">
        <v>48</v>
      </c>
      <c r="E40" s="101"/>
      <c r="F40" s="98">
        <v>13.8</v>
      </c>
      <c r="G40" s="99">
        <f>D40*F40</f>
        <v>662.40000000000009</v>
      </c>
    </row>
    <row r="41" spans="1:7" x14ac:dyDescent="0.2">
      <c r="C41" s="1"/>
      <c r="F41" s="6"/>
      <c r="G41" s="4"/>
    </row>
    <row r="42" spans="1:7" ht="15" x14ac:dyDescent="0.2">
      <c r="A42" s="180" t="s">
        <v>98</v>
      </c>
      <c r="B42" s="180"/>
      <c r="C42" s="180"/>
      <c r="D42" s="14"/>
      <c r="E42" s="14"/>
      <c r="F42" s="14"/>
      <c r="G42" s="14"/>
    </row>
    <row r="43" spans="1:7" x14ac:dyDescent="0.2">
      <c r="A43" s="12" t="s">
        <v>1</v>
      </c>
      <c r="B43" s="11" t="s">
        <v>2</v>
      </c>
      <c r="C43" s="12" t="s">
        <v>3</v>
      </c>
      <c r="D43" s="11" t="s">
        <v>4</v>
      </c>
      <c r="E43" s="11"/>
      <c r="F43" s="11" t="s">
        <v>5</v>
      </c>
      <c r="G43" s="11" t="s">
        <v>6</v>
      </c>
    </row>
    <row r="44" spans="1:7" x14ac:dyDescent="0.2">
      <c r="A44" s="181">
        <v>9263</v>
      </c>
      <c r="B44" s="97" t="s">
        <v>14</v>
      </c>
      <c r="C44" s="181" t="s">
        <v>11</v>
      </c>
      <c r="D44" s="97">
        <v>1</v>
      </c>
      <c r="E44" s="97"/>
      <c r="F44" s="98">
        <v>35.700000000000003</v>
      </c>
      <c r="G44" s="99">
        <f>D44*F44</f>
        <v>35.700000000000003</v>
      </c>
    </row>
    <row r="45" spans="1:7" x14ac:dyDescent="0.2">
      <c r="A45" s="101"/>
      <c r="B45" s="101"/>
      <c r="C45" s="101"/>
      <c r="D45" s="101">
        <v>12</v>
      </c>
      <c r="E45" s="101"/>
      <c r="F45" s="98">
        <v>32.299999999999997</v>
      </c>
      <c r="G45" s="99">
        <f>D45*F45</f>
        <v>387.59999999999997</v>
      </c>
    </row>
    <row r="46" spans="1:7" x14ac:dyDescent="0.2">
      <c r="A46" s="101"/>
      <c r="B46" s="101"/>
      <c r="C46" s="101"/>
      <c r="D46" s="101">
        <v>24</v>
      </c>
      <c r="E46" s="101"/>
      <c r="F46" s="98">
        <v>30.7</v>
      </c>
      <c r="G46" s="99">
        <f>D46*F46</f>
        <v>736.8</v>
      </c>
    </row>
    <row r="47" spans="1:7" x14ac:dyDescent="0.2">
      <c r="A47" s="101"/>
      <c r="B47" s="101"/>
      <c r="C47" s="101"/>
      <c r="D47" s="101">
        <v>48</v>
      </c>
      <c r="E47" s="101"/>
      <c r="F47" s="98">
        <v>29.3</v>
      </c>
      <c r="G47" s="99">
        <f>D47*F47</f>
        <v>1406.4</v>
      </c>
    </row>
    <row r="48" spans="1:7" x14ac:dyDescent="0.2">
      <c r="C48" s="1"/>
      <c r="F48" s="6"/>
      <c r="G48" s="4"/>
    </row>
    <row r="49" spans="1:7" ht="15" x14ac:dyDescent="0.2">
      <c r="A49" s="180" t="s">
        <v>99</v>
      </c>
      <c r="B49" s="180"/>
      <c r="C49" s="180"/>
      <c r="D49" s="14"/>
      <c r="E49" s="14"/>
      <c r="F49" s="14"/>
      <c r="G49" s="14"/>
    </row>
    <row r="50" spans="1:7" x14ac:dyDescent="0.2">
      <c r="A50" s="12" t="s">
        <v>1</v>
      </c>
      <c r="B50" s="11" t="s">
        <v>2</v>
      </c>
      <c r="C50" s="12" t="s">
        <v>3</v>
      </c>
      <c r="D50" s="11" t="s">
        <v>4</v>
      </c>
      <c r="E50" s="11"/>
      <c r="F50" s="11" t="s">
        <v>5</v>
      </c>
      <c r="G50" s="11" t="s">
        <v>6</v>
      </c>
    </row>
    <row r="51" spans="1:7" x14ac:dyDescent="0.2">
      <c r="A51" s="181">
        <v>8924</v>
      </c>
      <c r="B51" s="97" t="s">
        <v>100</v>
      </c>
      <c r="C51" s="181" t="s">
        <v>57</v>
      </c>
      <c r="D51" s="97">
        <v>1</v>
      </c>
      <c r="E51" s="97"/>
      <c r="F51" s="98">
        <v>51.8</v>
      </c>
      <c r="G51" s="99">
        <f>D51*F51</f>
        <v>51.8</v>
      </c>
    </row>
    <row r="52" spans="1:7" x14ac:dyDescent="0.2">
      <c r="A52" s="101"/>
      <c r="B52" s="101"/>
      <c r="C52" s="101"/>
      <c r="D52" s="101">
        <v>6</v>
      </c>
      <c r="E52" s="101"/>
      <c r="F52" s="98">
        <v>47.2</v>
      </c>
      <c r="G52" s="99">
        <f>D52*F52</f>
        <v>283.20000000000005</v>
      </c>
    </row>
    <row r="53" spans="1:7" x14ac:dyDescent="0.2">
      <c r="A53" s="101"/>
      <c r="B53" s="101"/>
      <c r="C53" s="101"/>
      <c r="D53" s="101">
        <v>12</v>
      </c>
      <c r="E53" s="101"/>
      <c r="F53" s="98">
        <v>45</v>
      </c>
      <c r="G53" s="99">
        <f>D53*F53</f>
        <v>540</v>
      </c>
    </row>
    <row r="54" spans="1:7" x14ac:dyDescent="0.2">
      <c r="A54" s="101"/>
      <c r="B54" s="101"/>
      <c r="C54" s="101"/>
      <c r="D54" s="101">
        <v>24</v>
      </c>
      <c r="E54" s="101"/>
      <c r="F54" s="98">
        <v>42.8</v>
      </c>
      <c r="G54" s="99">
        <f>D54*F54</f>
        <v>1027.1999999999998</v>
      </c>
    </row>
    <row r="56" spans="1:7" ht="15" x14ac:dyDescent="0.2">
      <c r="A56" s="180" t="s">
        <v>101</v>
      </c>
      <c r="B56" s="180"/>
      <c r="C56" s="44"/>
      <c r="D56" s="44"/>
      <c r="E56" s="44"/>
      <c r="F56" s="44"/>
      <c r="G56" s="44"/>
    </row>
    <row r="57" spans="1:7" x14ac:dyDescent="0.2">
      <c r="A57" s="12" t="s">
        <v>1</v>
      </c>
      <c r="B57" s="11" t="s">
        <v>2</v>
      </c>
      <c r="C57" s="12" t="s">
        <v>3</v>
      </c>
      <c r="D57" s="11" t="s">
        <v>4</v>
      </c>
      <c r="E57" s="11"/>
      <c r="F57" s="11" t="s">
        <v>5</v>
      </c>
      <c r="G57" s="11" t="s">
        <v>6</v>
      </c>
    </row>
    <row r="58" spans="1:7" x14ac:dyDescent="0.2">
      <c r="A58" s="181">
        <v>9818</v>
      </c>
      <c r="B58" s="97" t="s">
        <v>19</v>
      </c>
      <c r="C58" s="181" t="s">
        <v>18</v>
      </c>
      <c r="D58" s="97">
        <v>1</v>
      </c>
      <c r="E58" s="97"/>
      <c r="F58" s="98">
        <v>16.899999999999999</v>
      </c>
      <c r="G58" s="99">
        <f>F58*10</f>
        <v>169</v>
      </c>
    </row>
    <row r="59" spans="1:7" x14ac:dyDescent="0.2">
      <c r="A59" s="122">
        <v>9819</v>
      </c>
      <c r="B59" s="123" t="s">
        <v>20</v>
      </c>
      <c r="C59" s="122" t="s">
        <v>18</v>
      </c>
      <c r="D59" s="124">
        <v>1</v>
      </c>
      <c r="E59" s="124"/>
      <c r="F59" s="132">
        <v>16.7</v>
      </c>
      <c r="G59" s="125">
        <f>F59*20</f>
        <v>334</v>
      </c>
    </row>
    <row r="60" spans="1:7" x14ac:dyDescent="0.2">
      <c r="A60" s="181">
        <v>9821</v>
      </c>
      <c r="B60" s="97" t="s">
        <v>38</v>
      </c>
      <c r="C60" s="181" t="s">
        <v>102</v>
      </c>
      <c r="D60" s="97">
        <v>1</v>
      </c>
      <c r="E60" s="100"/>
      <c r="F60" s="98">
        <v>16.5</v>
      </c>
      <c r="G60" s="99">
        <f>F60*60</f>
        <v>990</v>
      </c>
    </row>
    <row r="61" spans="1:7" x14ac:dyDescent="0.2">
      <c r="A61" s="122">
        <v>9822</v>
      </c>
      <c r="B61" s="123" t="s">
        <v>25</v>
      </c>
      <c r="C61" s="122" t="s">
        <v>102</v>
      </c>
      <c r="D61" s="124">
        <v>1</v>
      </c>
      <c r="E61" s="128" t="s">
        <v>23</v>
      </c>
      <c r="F61" s="132">
        <v>15.5</v>
      </c>
      <c r="G61" s="125">
        <f>F61*200</f>
        <v>3100</v>
      </c>
    </row>
    <row r="62" spans="1:7" x14ac:dyDescent="0.2">
      <c r="A62" s="181">
        <v>9867</v>
      </c>
      <c r="B62" s="97" t="s">
        <v>103</v>
      </c>
      <c r="C62" s="181" t="s">
        <v>104</v>
      </c>
      <c r="D62" s="97">
        <v>1</v>
      </c>
      <c r="E62" s="100"/>
      <c r="F62" s="98">
        <v>12.3</v>
      </c>
      <c r="G62" s="99">
        <f>F62*1000</f>
        <v>12300</v>
      </c>
    </row>
    <row r="64" spans="1:7" ht="15" x14ac:dyDescent="0.2">
      <c r="A64" s="180" t="s">
        <v>105</v>
      </c>
      <c r="B64" s="180"/>
      <c r="C64" s="44"/>
      <c r="D64" s="44"/>
      <c r="E64" s="44"/>
      <c r="F64" s="44"/>
      <c r="G64" s="44"/>
    </row>
    <row r="65" spans="1:7" x14ac:dyDescent="0.2">
      <c r="A65" s="12" t="s">
        <v>1</v>
      </c>
      <c r="B65" s="11" t="s">
        <v>2</v>
      </c>
      <c r="C65" s="12" t="s">
        <v>3</v>
      </c>
      <c r="D65" s="11" t="s">
        <v>4</v>
      </c>
      <c r="E65" s="11"/>
      <c r="F65" s="11" t="s">
        <v>5</v>
      </c>
      <c r="G65" s="11" t="s">
        <v>6</v>
      </c>
    </row>
    <row r="66" spans="1:7" x14ac:dyDescent="0.2">
      <c r="A66" s="181">
        <v>8251</v>
      </c>
      <c r="B66" s="97" t="s">
        <v>92</v>
      </c>
      <c r="C66" s="181" t="s">
        <v>18</v>
      </c>
      <c r="D66" s="97">
        <v>1</v>
      </c>
      <c r="E66" s="97"/>
      <c r="F66" s="98">
        <v>18.3</v>
      </c>
      <c r="G66" s="99">
        <f>F66*25</f>
        <v>457.5</v>
      </c>
    </row>
    <row r="68" spans="1:7" ht="15" x14ac:dyDescent="0.2">
      <c r="A68" s="180" t="s">
        <v>106</v>
      </c>
      <c r="B68" s="180"/>
      <c r="C68" s="180"/>
      <c r="D68" s="14"/>
      <c r="E68" s="14"/>
      <c r="F68" s="14"/>
      <c r="G68" s="14"/>
    </row>
    <row r="69" spans="1:7" x14ac:dyDescent="0.2">
      <c r="A69" s="12" t="s">
        <v>1</v>
      </c>
      <c r="B69" s="11" t="s">
        <v>2</v>
      </c>
      <c r="C69" s="12" t="s">
        <v>3</v>
      </c>
      <c r="D69" s="11" t="s">
        <v>4</v>
      </c>
      <c r="E69" s="11"/>
      <c r="F69" s="11" t="s">
        <v>5</v>
      </c>
      <c r="G69" s="11" t="s">
        <v>6</v>
      </c>
    </row>
    <row r="70" spans="1:7" x14ac:dyDescent="0.2">
      <c r="A70" s="181">
        <v>9653</v>
      </c>
      <c r="B70" s="97" t="s">
        <v>107</v>
      </c>
      <c r="C70" s="181" t="s">
        <v>16</v>
      </c>
      <c r="D70" s="97">
        <v>2</v>
      </c>
      <c r="E70" s="97"/>
      <c r="F70" s="98">
        <v>17.7</v>
      </c>
      <c r="G70" s="99">
        <f>D70*F70</f>
        <v>35.4</v>
      </c>
    </row>
    <row r="71" spans="1:7" x14ac:dyDescent="0.2">
      <c r="A71" s="230" t="s">
        <v>108</v>
      </c>
      <c r="B71" s="230"/>
      <c r="C71" s="230"/>
      <c r="D71" s="230"/>
      <c r="E71" s="230"/>
      <c r="F71" s="230"/>
      <c r="G71" s="230"/>
    </row>
    <row r="72" spans="1:7" x14ac:dyDescent="0.2">
      <c r="A72" s="181"/>
      <c r="B72" s="181"/>
      <c r="C72" s="181"/>
      <c r="D72" s="97">
        <v>8</v>
      </c>
      <c r="E72" s="181"/>
      <c r="F72" s="98">
        <v>17.3</v>
      </c>
      <c r="G72" s="99">
        <f>D72*F72</f>
        <v>138.4</v>
      </c>
    </row>
    <row r="73" spans="1:7" x14ac:dyDescent="0.2">
      <c r="A73" s="181"/>
      <c r="B73" s="181"/>
      <c r="C73" s="181"/>
      <c r="D73" s="97">
        <v>16</v>
      </c>
      <c r="E73" s="181"/>
      <c r="F73" s="98">
        <v>16.8</v>
      </c>
      <c r="G73" s="99">
        <f>D73*F73</f>
        <v>268.8</v>
      </c>
    </row>
    <row r="74" spans="1:7" x14ac:dyDescent="0.2">
      <c r="A74" s="101"/>
      <c r="B74" s="101"/>
      <c r="C74" s="101"/>
      <c r="D74" s="101">
        <v>24</v>
      </c>
      <c r="E74" s="101"/>
      <c r="F74" s="98">
        <v>16.2</v>
      </c>
      <c r="G74" s="99">
        <f>D74*F74</f>
        <v>388.79999999999995</v>
      </c>
    </row>
    <row r="75" spans="1:7" x14ac:dyDescent="0.2">
      <c r="A75" s="101"/>
      <c r="B75" s="101"/>
      <c r="C75" s="101"/>
      <c r="D75" s="101">
        <v>48</v>
      </c>
      <c r="E75" s="101"/>
      <c r="F75" s="98">
        <v>15.5</v>
      </c>
      <c r="G75" s="99">
        <f>D75*F75</f>
        <v>744</v>
      </c>
    </row>
    <row r="76" spans="1:7" x14ac:dyDescent="0.2">
      <c r="A76" s="101"/>
      <c r="B76" s="101"/>
      <c r="C76" s="101"/>
      <c r="D76" s="101">
        <v>96</v>
      </c>
      <c r="E76" s="101"/>
      <c r="F76" s="98">
        <v>14.3</v>
      </c>
      <c r="G76" s="99">
        <f>F76*D76</f>
        <v>1372.8000000000002</v>
      </c>
    </row>
    <row r="77" spans="1:7" x14ac:dyDescent="0.2">
      <c r="A77" s="122">
        <v>9644</v>
      </c>
      <c r="B77" s="123" t="s">
        <v>19</v>
      </c>
      <c r="C77" s="122" t="s">
        <v>18</v>
      </c>
      <c r="D77" s="124">
        <v>1</v>
      </c>
      <c r="E77" s="128"/>
      <c r="F77" s="132">
        <v>20.399999999999999</v>
      </c>
      <c r="G77" s="125">
        <f>F77*10</f>
        <v>204</v>
      </c>
    </row>
    <row r="78" spans="1:7" x14ac:dyDescent="0.2">
      <c r="A78" s="181">
        <v>9648</v>
      </c>
      <c r="B78" s="97" t="s">
        <v>25</v>
      </c>
      <c r="C78" s="181" t="s">
        <v>102</v>
      </c>
      <c r="D78" s="101">
        <v>1</v>
      </c>
      <c r="E78" s="100"/>
      <c r="F78" s="98">
        <v>17.2</v>
      </c>
      <c r="G78" s="99">
        <f>F78*200</f>
        <v>3440</v>
      </c>
    </row>
    <row r="79" spans="1:7" x14ac:dyDescent="0.2">
      <c r="A79" s="122">
        <v>9649</v>
      </c>
      <c r="B79" s="123" t="s">
        <v>103</v>
      </c>
      <c r="C79" s="122" t="s">
        <v>104</v>
      </c>
      <c r="D79" s="123">
        <v>1</v>
      </c>
      <c r="E79" s="128" t="s">
        <v>23</v>
      </c>
      <c r="F79" s="132">
        <v>15.8</v>
      </c>
      <c r="G79" s="125">
        <f>F79*1000</f>
        <v>15800</v>
      </c>
    </row>
    <row r="80" spans="1:7" x14ac:dyDescent="0.2">
      <c r="C80" s="1"/>
    </row>
    <row r="81" spans="1:7" ht="15" x14ac:dyDescent="0.2">
      <c r="A81" s="180" t="s">
        <v>109</v>
      </c>
      <c r="B81" s="150"/>
      <c r="C81" s="44"/>
      <c r="D81" s="44"/>
      <c r="E81" s="44"/>
      <c r="F81" s="44"/>
      <c r="G81" s="44"/>
    </row>
    <row r="82" spans="1:7" x14ac:dyDescent="0.2">
      <c r="A82" s="12" t="s">
        <v>1</v>
      </c>
      <c r="B82" s="11" t="s">
        <v>2</v>
      </c>
      <c r="C82" s="12" t="s">
        <v>3</v>
      </c>
      <c r="D82" s="11" t="s">
        <v>4</v>
      </c>
      <c r="E82" s="11"/>
      <c r="F82" s="11" t="s">
        <v>5</v>
      </c>
      <c r="G82" s="11" t="s">
        <v>6</v>
      </c>
    </row>
    <row r="83" spans="1:7" x14ac:dyDescent="0.2">
      <c r="A83" s="181">
        <v>8266</v>
      </c>
      <c r="B83" s="97" t="s">
        <v>19</v>
      </c>
      <c r="C83" s="181" t="s">
        <v>18</v>
      </c>
      <c r="D83" s="97">
        <v>1</v>
      </c>
      <c r="E83" s="97"/>
      <c r="F83" s="98">
        <v>22.2</v>
      </c>
      <c r="G83" s="99">
        <f>F83*10</f>
        <v>222</v>
      </c>
    </row>
    <row r="84" spans="1:7" x14ac:dyDescent="0.2">
      <c r="A84" s="230" t="s">
        <v>110</v>
      </c>
      <c r="B84" s="230"/>
      <c r="C84" s="230"/>
      <c r="D84" s="230"/>
      <c r="E84" s="230"/>
      <c r="F84" s="230"/>
      <c r="G84" s="230"/>
    </row>
    <row r="85" spans="1:7" x14ac:dyDescent="0.2">
      <c r="A85" s="122">
        <v>8338</v>
      </c>
      <c r="B85" s="123" t="s">
        <v>92</v>
      </c>
      <c r="C85" s="122" t="s">
        <v>18</v>
      </c>
      <c r="D85" s="124">
        <v>1</v>
      </c>
      <c r="E85" s="128"/>
      <c r="F85" s="132">
        <v>20.9</v>
      </c>
      <c r="G85" s="125">
        <f>F85*25</f>
        <v>522.5</v>
      </c>
    </row>
    <row r="87" spans="1:7" ht="15" x14ac:dyDescent="0.2">
      <c r="A87" s="180" t="s">
        <v>541</v>
      </c>
      <c r="B87" s="150"/>
      <c r="C87" s="44"/>
      <c r="D87" s="44"/>
      <c r="E87" s="44"/>
      <c r="F87" s="44"/>
      <c r="G87" s="44"/>
    </row>
    <row r="88" spans="1:7" x14ac:dyDescent="0.2">
      <c r="A88" s="12" t="s">
        <v>1</v>
      </c>
      <c r="B88" s="11" t="s">
        <v>2</v>
      </c>
      <c r="C88" s="12" t="s">
        <v>3</v>
      </c>
      <c r="D88" s="11" t="s">
        <v>4</v>
      </c>
      <c r="E88" s="11"/>
      <c r="F88" s="11" t="s">
        <v>5</v>
      </c>
      <c r="G88" s="11" t="s">
        <v>6</v>
      </c>
    </row>
    <row r="89" spans="1:7" x14ac:dyDescent="0.2">
      <c r="A89" s="181">
        <v>6737</v>
      </c>
      <c r="B89" s="97" t="s">
        <v>19</v>
      </c>
      <c r="C89" s="181" t="s">
        <v>18</v>
      </c>
      <c r="D89" s="97">
        <v>1</v>
      </c>
      <c r="E89" s="97"/>
      <c r="F89" s="98">
        <v>32.9</v>
      </c>
      <c r="G89" s="99">
        <f>F89*10</f>
        <v>329</v>
      </c>
    </row>
    <row r="90" spans="1:7" x14ac:dyDescent="0.2">
      <c r="A90" s="230" t="s">
        <v>111</v>
      </c>
      <c r="B90" s="230"/>
      <c r="C90" s="230"/>
      <c r="D90" s="230"/>
      <c r="E90" s="230"/>
      <c r="F90" s="230"/>
      <c r="G90" s="230"/>
    </row>
    <row r="91" spans="1:7" x14ac:dyDescent="0.2">
      <c r="A91" s="122">
        <v>6903</v>
      </c>
      <c r="B91" s="123" t="s">
        <v>25</v>
      </c>
      <c r="C91" s="122" t="s">
        <v>26</v>
      </c>
      <c r="D91" s="123">
        <v>1</v>
      </c>
      <c r="E91" s="128" t="s">
        <v>23</v>
      </c>
      <c r="F91" s="125">
        <v>30.6</v>
      </c>
      <c r="G91" s="125">
        <f>F91*200</f>
        <v>6120</v>
      </c>
    </row>
    <row r="92" spans="1:7" x14ac:dyDescent="0.2">
      <c r="A92" s="181">
        <v>6736</v>
      </c>
      <c r="B92" s="97" t="s">
        <v>103</v>
      </c>
      <c r="C92" s="181" t="s">
        <v>104</v>
      </c>
      <c r="D92" s="101">
        <v>1</v>
      </c>
      <c r="E92" s="100" t="s">
        <v>23</v>
      </c>
      <c r="F92" s="98">
        <v>25.3</v>
      </c>
      <c r="G92" s="99">
        <f>F92*1000</f>
        <v>25300</v>
      </c>
    </row>
    <row r="93" spans="1:7" x14ac:dyDescent="0.2">
      <c r="A93" s="35"/>
      <c r="B93" s="62"/>
      <c r="C93" s="35"/>
      <c r="D93" s="62"/>
      <c r="E93" s="62"/>
      <c r="F93" s="62"/>
      <c r="G93" s="62"/>
    </row>
    <row r="94" spans="1:7" x14ac:dyDescent="0.2">
      <c r="A94" s="3"/>
      <c r="B94" s="2"/>
      <c r="D94" s="2"/>
      <c r="E94" s="2"/>
      <c r="F94" s="6"/>
      <c r="G94" s="4"/>
    </row>
    <row r="95" spans="1:7" x14ac:dyDescent="0.2">
      <c r="A95" s="231"/>
      <c r="B95" s="231"/>
      <c r="C95" s="231"/>
      <c r="D95" s="231"/>
      <c r="E95" s="231"/>
      <c r="F95" s="231"/>
      <c r="G95" s="231"/>
    </row>
    <row r="96" spans="1:7" x14ac:dyDescent="0.2">
      <c r="A96" s="3"/>
      <c r="B96" s="2"/>
      <c r="E96" s="151"/>
      <c r="F96" s="6"/>
      <c r="G96" s="4"/>
    </row>
    <row r="97" spans="1:7" x14ac:dyDescent="0.2">
      <c r="A97" s="3"/>
      <c r="B97" s="2"/>
      <c r="E97" s="151"/>
      <c r="F97" s="6"/>
      <c r="G97" s="4"/>
    </row>
    <row r="103" spans="1:7" ht="12.75" customHeight="1" x14ac:dyDescent="0.2"/>
  </sheetData>
  <mergeCells count="10">
    <mergeCell ref="A84:G84"/>
    <mergeCell ref="A90:G90"/>
    <mergeCell ref="A95:G95"/>
    <mergeCell ref="A12:G12"/>
    <mergeCell ref="A1:G3"/>
    <mergeCell ref="A71:G71"/>
    <mergeCell ref="A26:C26"/>
    <mergeCell ref="A24:C24"/>
    <mergeCell ref="A17:C17"/>
    <mergeCell ref="A15:C15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82F9-E669-4938-82D4-DBF373524BA3}">
  <dimension ref="A1:K108"/>
  <sheetViews>
    <sheetView showGridLines="0" zoomScaleNormal="100" workbookViewId="0">
      <selection activeCell="F21" sqref="F21:F26"/>
    </sheetView>
  </sheetViews>
  <sheetFormatPr defaultColWidth="9.140625" defaultRowHeight="12.75" x14ac:dyDescent="0.2"/>
  <cols>
    <col min="1" max="1" width="13.7109375" style="1" customWidth="1"/>
    <col min="2" max="2" width="11.5703125" style="1" customWidth="1"/>
    <col min="3" max="3" width="20.28515625" style="3" customWidth="1"/>
    <col min="4" max="4" width="8.140625" style="1" customWidth="1"/>
    <col min="5" max="5" width="2" style="1" customWidth="1"/>
    <col min="6" max="6" width="19.5703125" style="1" customWidth="1"/>
    <col min="7" max="7" width="20.28515625" style="1" customWidth="1"/>
    <col min="8" max="8" width="9.140625" style="1"/>
    <col min="9" max="9" width="9.140625" style="6"/>
    <col min="10" max="10" width="9.140625" style="1"/>
    <col min="11" max="11" width="9.140625" style="6"/>
    <col min="12" max="16384" width="9.140625" style="1"/>
  </cols>
  <sheetData>
    <row r="1" spans="1:11" ht="12.75" customHeight="1" x14ac:dyDescent="0.2">
      <c r="A1" s="226"/>
      <c r="B1" s="226"/>
      <c r="C1" s="226"/>
      <c r="D1" s="226"/>
      <c r="E1" s="226"/>
      <c r="F1" s="226"/>
      <c r="G1" s="226"/>
    </row>
    <row r="2" spans="1:11" ht="12.75" customHeight="1" x14ac:dyDescent="0.2">
      <c r="A2" s="226"/>
      <c r="B2" s="226"/>
      <c r="C2" s="226"/>
      <c r="D2" s="226"/>
      <c r="E2" s="226"/>
      <c r="F2" s="226"/>
      <c r="G2" s="226"/>
    </row>
    <row r="3" spans="1:11" ht="12.75" customHeight="1" x14ac:dyDescent="0.2">
      <c r="A3" s="226"/>
      <c r="B3" s="226"/>
      <c r="C3" s="226"/>
      <c r="D3" s="226"/>
      <c r="E3" s="226"/>
      <c r="F3" s="226"/>
      <c r="G3" s="226"/>
    </row>
    <row r="4" spans="1:11" x14ac:dyDescent="0.2">
      <c r="B4" s="2"/>
      <c r="D4" s="2"/>
      <c r="E4" s="2"/>
      <c r="F4" s="2"/>
      <c r="G4" s="2"/>
    </row>
    <row r="5" spans="1:11" ht="15" x14ac:dyDescent="0.2">
      <c r="A5" s="144" t="s">
        <v>112</v>
      </c>
      <c r="B5" s="52"/>
      <c r="C5" s="52"/>
      <c r="D5" s="52"/>
      <c r="E5" s="52"/>
      <c r="F5" s="52"/>
      <c r="G5" s="52"/>
    </row>
    <row r="6" spans="1:11" x14ac:dyDescent="0.2">
      <c r="A6" s="12" t="s">
        <v>1</v>
      </c>
      <c r="B6" s="11" t="s">
        <v>2</v>
      </c>
      <c r="C6" s="12" t="s">
        <v>3</v>
      </c>
      <c r="D6" s="11" t="s">
        <v>4</v>
      </c>
      <c r="E6" s="225" t="s">
        <v>5</v>
      </c>
      <c r="F6" s="225"/>
      <c r="G6" s="11" t="s">
        <v>6</v>
      </c>
    </row>
    <row r="7" spans="1:11" ht="12.75" customHeight="1" x14ac:dyDescent="0.2">
      <c r="A7" s="102">
        <v>8365</v>
      </c>
      <c r="B7" s="103" t="s">
        <v>15</v>
      </c>
      <c r="C7" s="102" t="s">
        <v>16</v>
      </c>
      <c r="D7" s="103">
        <v>1</v>
      </c>
      <c r="E7" s="103"/>
      <c r="F7" s="104">
        <v>63.8</v>
      </c>
      <c r="G7" s="105">
        <f>D7*F7</f>
        <v>63.8</v>
      </c>
    </row>
    <row r="8" spans="1:11" x14ac:dyDescent="0.2">
      <c r="A8" s="102"/>
      <c r="B8" s="103"/>
      <c r="C8" s="102"/>
      <c r="D8" s="103">
        <v>6</v>
      </c>
      <c r="E8" s="103"/>
      <c r="F8" s="104">
        <v>61</v>
      </c>
      <c r="G8" s="105">
        <f>D8*F8</f>
        <v>366</v>
      </c>
    </row>
    <row r="9" spans="1:11" x14ac:dyDescent="0.2">
      <c r="A9" s="122">
        <v>8366</v>
      </c>
      <c r="B9" s="123" t="s">
        <v>19</v>
      </c>
      <c r="C9" s="122" t="s">
        <v>18</v>
      </c>
      <c r="D9" s="124">
        <v>1</v>
      </c>
      <c r="E9" s="124"/>
      <c r="F9" s="132">
        <v>50</v>
      </c>
      <c r="G9" s="125">
        <f>F9*10</f>
        <v>500</v>
      </c>
    </row>
    <row r="10" spans="1:11" x14ac:dyDescent="0.2">
      <c r="A10" s="102">
        <v>8822</v>
      </c>
      <c r="B10" s="103" t="s">
        <v>20</v>
      </c>
      <c r="C10" s="102" t="s">
        <v>18</v>
      </c>
      <c r="D10" s="106">
        <v>1</v>
      </c>
      <c r="E10" s="109" t="s">
        <v>23</v>
      </c>
      <c r="F10" s="104">
        <v>47.5</v>
      </c>
      <c r="G10" s="105">
        <f>F10*20</f>
        <v>950</v>
      </c>
    </row>
    <row r="12" spans="1:11" s="50" customFormat="1" ht="15" x14ac:dyDescent="0.2">
      <c r="A12" s="144" t="s">
        <v>113</v>
      </c>
      <c r="B12" s="52"/>
      <c r="C12" s="52"/>
      <c r="D12" s="52"/>
      <c r="E12" s="52"/>
      <c r="F12" s="52"/>
      <c r="G12" s="52"/>
      <c r="H12" s="1"/>
      <c r="I12" s="6"/>
      <c r="K12" s="6"/>
    </row>
    <row r="13" spans="1:11" s="50" customFormat="1" x14ac:dyDescent="0.2">
      <c r="A13" s="12" t="s">
        <v>1</v>
      </c>
      <c r="B13" s="11" t="s">
        <v>2</v>
      </c>
      <c r="C13" s="12" t="s">
        <v>3</v>
      </c>
      <c r="D13" s="11" t="s">
        <v>4</v>
      </c>
      <c r="E13" s="225" t="s">
        <v>5</v>
      </c>
      <c r="F13" s="225"/>
      <c r="G13" s="11" t="s">
        <v>6</v>
      </c>
      <c r="H13" s="1"/>
      <c r="I13" s="6"/>
      <c r="K13" s="6"/>
    </row>
    <row r="14" spans="1:11" s="50" customFormat="1" x14ac:dyDescent="0.2">
      <c r="A14" s="102">
        <v>8887</v>
      </c>
      <c r="B14" s="103" t="s">
        <v>14</v>
      </c>
      <c r="C14" s="102" t="s">
        <v>11</v>
      </c>
      <c r="D14" s="103">
        <v>1</v>
      </c>
      <c r="E14" s="103"/>
      <c r="F14" s="104">
        <v>44.7</v>
      </c>
      <c r="G14" s="105">
        <f>D14*F14</f>
        <v>44.7</v>
      </c>
      <c r="H14" s="1"/>
      <c r="I14" s="6"/>
      <c r="J14" s="1"/>
      <c r="K14" s="6"/>
    </row>
    <row r="15" spans="1:11" s="50" customFormat="1" x14ac:dyDescent="0.2">
      <c r="A15" s="102"/>
      <c r="B15" s="103"/>
      <c r="C15" s="102"/>
      <c r="D15" s="103">
        <v>12</v>
      </c>
      <c r="E15" s="103"/>
      <c r="F15" s="104">
        <v>40.799999999999997</v>
      </c>
      <c r="G15" s="105">
        <f>D15*F15</f>
        <v>489.59999999999997</v>
      </c>
      <c r="H15" s="1"/>
      <c r="I15" s="6"/>
      <c r="J15" s="1"/>
      <c r="K15" s="6"/>
    </row>
    <row r="16" spans="1:11" s="50" customFormat="1" ht="12.75" customHeight="1" x14ac:dyDescent="0.2">
      <c r="A16" s="107"/>
      <c r="B16" s="107"/>
      <c r="C16" s="107"/>
      <c r="D16" s="103">
        <v>24</v>
      </c>
      <c r="E16" s="103"/>
      <c r="F16" s="104">
        <v>38.6</v>
      </c>
      <c r="G16" s="105">
        <f>D16*F16</f>
        <v>926.40000000000009</v>
      </c>
      <c r="H16" s="1"/>
      <c r="I16" s="6"/>
      <c r="J16" s="1"/>
      <c r="K16" s="6"/>
    </row>
    <row r="17" spans="1:11" s="50" customFormat="1" x14ac:dyDescent="0.2">
      <c r="A17" s="108"/>
      <c r="B17" s="108"/>
      <c r="C17" s="108"/>
      <c r="D17" s="103">
        <v>48</v>
      </c>
      <c r="E17" s="103"/>
      <c r="F17" s="104">
        <v>36.700000000000003</v>
      </c>
      <c r="G17" s="105">
        <f>D17*F17</f>
        <v>1761.6000000000001</v>
      </c>
      <c r="H17" s="1"/>
      <c r="I17" s="6"/>
      <c r="J17" s="1"/>
      <c r="K17" s="6"/>
    </row>
    <row r="18" spans="1:11" s="50" customFormat="1" x14ac:dyDescent="0.2">
      <c r="A18" s="40"/>
      <c r="B18" s="41"/>
      <c r="C18" s="40"/>
      <c r="D18" s="41"/>
      <c r="E18" s="41"/>
      <c r="F18" s="42"/>
      <c r="G18" s="43"/>
      <c r="H18" s="1"/>
      <c r="I18" s="6"/>
      <c r="J18" s="1"/>
      <c r="K18" s="6"/>
    </row>
    <row r="19" spans="1:11" s="50" customFormat="1" ht="15" x14ac:dyDescent="0.2">
      <c r="A19" s="144" t="s">
        <v>114</v>
      </c>
      <c r="B19" s="52"/>
      <c r="C19" s="52"/>
      <c r="D19" s="52"/>
      <c r="E19" s="52"/>
      <c r="F19" s="52"/>
      <c r="G19" s="52"/>
      <c r="H19" s="1"/>
      <c r="I19" s="6"/>
      <c r="J19" s="1"/>
      <c r="K19" s="6"/>
    </row>
    <row r="20" spans="1:11" s="50" customFormat="1" x14ac:dyDescent="0.2">
      <c r="A20" s="12" t="s">
        <v>1</v>
      </c>
      <c r="B20" s="11" t="s">
        <v>2</v>
      </c>
      <c r="C20" s="12" t="s">
        <v>3</v>
      </c>
      <c r="D20" s="11" t="s">
        <v>4</v>
      </c>
      <c r="E20" s="225" t="s">
        <v>5</v>
      </c>
      <c r="F20" s="225"/>
      <c r="G20" s="11" t="s">
        <v>6</v>
      </c>
      <c r="H20" s="1"/>
      <c r="I20" s="6"/>
      <c r="J20" s="1"/>
      <c r="K20" s="6"/>
    </row>
    <row r="21" spans="1:11" s="50" customFormat="1" x14ac:dyDescent="0.2">
      <c r="A21" s="102">
        <v>9019</v>
      </c>
      <c r="B21" s="103" t="s">
        <v>14</v>
      </c>
      <c r="C21" s="102" t="s">
        <v>16</v>
      </c>
      <c r="D21" s="103">
        <v>1</v>
      </c>
      <c r="E21" s="103"/>
      <c r="F21" s="104">
        <v>11.6</v>
      </c>
      <c r="G21" s="105">
        <f>D21*F21</f>
        <v>11.6</v>
      </c>
      <c r="H21" s="1"/>
      <c r="I21" s="6"/>
      <c r="J21" s="1"/>
      <c r="K21" s="6"/>
    </row>
    <row r="22" spans="1:11" s="50" customFormat="1" x14ac:dyDescent="0.2">
      <c r="A22" s="102"/>
      <c r="B22" s="103"/>
      <c r="C22" s="102"/>
      <c r="D22" s="103">
        <v>12</v>
      </c>
      <c r="E22" s="103"/>
      <c r="F22" s="104">
        <v>10</v>
      </c>
      <c r="G22" s="105">
        <f>D22*F22</f>
        <v>120</v>
      </c>
      <c r="H22" s="1"/>
      <c r="I22" s="6"/>
      <c r="J22" s="1"/>
      <c r="K22" s="6"/>
    </row>
    <row r="23" spans="1:11" s="50" customFormat="1" x14ac:dyDescent="0.2">
      <c r="A23" s="102"/>
      <c r="B23" s="103"/>
      <c r="C23" s="102"/>
      <c r="D23" s="103">
        <v>24</v>
      </c>
      <c r="E23" s="103"/>
      <c r="F23" s="104">
        <v>9.6999999999999993</v>
      </c>
      <c r="G23" s="105">
        <f>D23*F23</f>
        <v>232.79999999999998</v>
      </c>
      <c r="H23" s="1"/>
      <c r="I23" s="6"/>
      <c r="J23" s="1"/>
      <c r="K23" s="6"/>
    </row>
    <row r="24" spans="1:11" s="50" customFormat="1" x14ac:dyDescent="0.2">
      <c r="A24" s="102"/>
      <c r="B24" s="103"/>
      <c r="C24" s="102"/>
      <c r="D24" s="103">
        <v>48</v>
      </c>
      <c r="E24" s="103" t="s">
        <v>23</v>
      </c>
      <c r="F24" s="104">
        <v>9.1999999999999993</v>
      </c>
      <c r="G24" s="105">
        <f>D24*F24</f>
        <v>441.59999999999997</v>
      </c>
      <c r="H24" s="1"/>
      <c r="I24" s="6"/>
      <c r="J24" s="1"/>
      <c r="K24" s="6"/>
    </row>
    <row r="25" spans="1:11" s="50" customFormat="1" x14ac:dyDescent="0.2">
      <c r="A25" s="122">
        <v>9006</v>
      </c>
      <c r="B25" s="123" t="s">
        <v>19</v>
      </c>
      <c r="C25" s="122" t="s">
        <v>18</v>
      </c>
      <c r="D25" s="124">
        <v>1</v>
      </c>
      <c r="E25" s="124"/>
      <c r="F25" s="132">
        <v>13</v>
      </c>
      <c r="G25" s="125">
        <f>F25*10</f>
        <v>130</v>
      </c>
      <c r="H25" s="1"/>
      <c r="I25" s="6"/>
      <c r="J25" s="1"/>
      <c r="K25" s="6"/>
    </row>
    <row r="26" spans="1:11" s="50" customFormat="1" x14ac:dyDescent="0.2">
      <c r="A26" s="102">
        <v>9007</v>
      </c>
      <c r="B26" s="103" t="s">
        <v>20</v>
      </c>
      <c r="C26" s="102" t="s">
        <v>18</v>
      </c>
      <c r="D26" s="106">
        <v>1</v>
      </c>
      <c r="E26" s="106"/>
      <c r="F26" s="104">
        <v>12.6</v>
      </c>
      <c r="G26" s="105">
        <f>F26*20</f>
        <v>252</v>
      </c>
      <c r="H26" s="1"/>
      <c r="I26" s="6"/>
      <c r="K26" s="6"/>
    </row>
    <row r="27" spans="1:11" s="50" customFormat="1" x14ac:dyDescent="0.2">
      <c r="A27" s="40"/>
      <c r="C27" s="40"/>
      <c r="D27" s="41"/>
      <c r="E27" s="41"/>
      <c r="F27" s="42"/>
      <c r="G27" s="43"/>
      <c r="I27" s="42"/>
      <c r="K27" s="6"/>
    </row>
    <row r="28" spans="1:11" s="50" customFormat="1" x14ac:dyDescent="0.2">
      <c r="A28" s="40"/>
      <c r="C28" s="40"/>
      <c r="D28" s="41"/>
      <c r="E28" s="41"/>
      <c r="F28" s="42"/>
      <c r="G28" s="43"/>
      <c r="I28" s="42"/>
      <c r="K28" s="6"/>
    </row>
    <row r="29" spans="1:11" s="50" customFormat="1" x14ac:dyDescent="0.2">
      <c r="A29" s="40"/>
      <c r="B29" s="41"/>
      <c r="C29" s="40"/>
      <c r="D29" s="41"/>
      <c r="E29" s="41"/>
      <c r="F29" s="42"/>
      <c r="G29" s="43"/>
      <c r="I29" s="42"/>
      <c r="K29" s="6"/>
    </row>
    <row r="30" spans="1:11" s="50" customFormat="1" x14ac:dyDescent="0.2">
      <c r="A30" s="40"/>
      <c r="B30" s="41"/>
      <c r="C30" s="40"/>
      <c r="D30" s="41"/>
      <c r="E30" s="41"/>
      <c r="F30" s="42"/>
      <c r="G30" s="43"/>
      <c r="I30" s="42"/>
      <c r="K30" s="6"/>
    </row>
    <row r="31" spans="1:11" s="50" customFormat="1" x14ac:dyDescent="0.2">
      <c r="A31" s="40"/>
      <c r="B31" s="41"/>
      <c r="C31" s="40"/>
      <c r="D31" s="41"/>
      <c r="E31" s="41"/>
      <c r="F31" s="42"/>
      <c r="G31" s="43"/>
      <c r="I31" s="42"/>
      <c r="K31" s="6"/>
    </row>
    <row r="32" spans="1:11" s="50" customFormat="1" x14ac:dyDescent="0.2">
      <c r="A32" s="40"/>
      <c r="C32" s="40"/>
      <c r="F32" s="42"/>
      <c r="G32" s="43"/>
      <c r="I32" s="42"/>
      <c r="K32" s="6"/>
    </row>
    <row r="33" spans="1:11" s="50" customFormat="1" x14ac:dyDescent="0.2">
      <c r="A33" s="40"/>
      <c r="C33" s="40"/>
      <c r="D33" s="41"/>
      <c r="E33" s="41"/>
      <c r="F33" s="42"/>
      <c r="G33" s="51"/>
      <c r="I33" s="42"/>
      <c r="K33" s="6"/>
    </row>
    <row r="34" spans="1:11" s="50" customFormat="1" ht="12.75" customHeight="1" x14ac:dyDescent="0.2">
      <c r="A34" s="40"/>
      <c r="B34" s="54"/>
      <c r="C34" s="40"/>
      <c r="D34" s="41"/>
      <c r="E34" s="41"/>
      <c r="F34" s="42"/>
      <c r="G34" s="43"/>
      <c r="I34" s="42"/>
      <c r="K34" s="6"/>
    </row>
    <row r="35" spans="1:11" s="50" customFormat="1" x14ac:dyDescent="0.2">
      <c r="A35" s="233"/>
      <c r="B35" s="233"/>
      <c r="C35" s="53"/>
      <c r="D35" s="53"/>
      <c r="E35" s="53"/>
      <c r="F35" s="53"/>
      <c r="G35" s="53"/>
      <c r="I35" s="42"/>
      <c r="K35" s="6"/>
    </row>
    <row r="36" spans="1:11" s="50" customFormat="1" x14ac:dyDescent="0.2">
      <c r="A36" s="40"/>
      <c r="B36" s="40"/>
      <c r="C36" s="40"/>
      <c r="D36" s="40"/>
      <c r="E36" s="40"/>
      <c r="F36" s="40"/>
      <c r="G36" s="40"/>
      <c r="I36" s="42"/>
      <c r="K36" s="6"/>
    </row>
    <row r="37" spans="1:11" s="50" customFormat="1" x14ac:dyDescent="0.2">
      <c r="A37" s="40"/>
      <c r="B37" s="41"/>
      <c r="C37" s="40"/>
      <c r="D37" s="41"/>
      <c r="E37" s="41"/>
      <c r="F37" s="42"/>
      <c r="G37" s="43"/>
      <c r="I37" s="42"/>
      <c r="K37" s="6"/>
    </row>
    <row r="38" spans="1:11" s="50" customFormat="1" x14ac:dyDescent="0.2">
      <c r="A38" s="40"/>
      <c r="C38" s="40"/>
      <c r="D38" s="41"/>
      <c r="E38" s="41"/>
      <c r="F38" s="42"/>
      <c r="G38" s="43"/>
      <c r="I38" s="42"/>
      <c r="K38" s="6"/>
    </row>
    <row r="39" spans="1:11" s="50" customFormat="1" x14ac:dyDescent="0.2">
      <c r="A39" s="40"/>
      <c r="B39" s="41"/>
      <c r="C39" s="40"/>
      <c r="D39" s="41"/>
      <c r="E39" s="41"/>
      <c r="F39" s="47"/>
      <c r="G39" s="43"/>
      <c r="I39" s="42"/>
      <c r="K39" s="6"/>
    </row>
    <row r="40" spans="1:11" s="50" customFormat="1" x14ac:dyDescent="0.2">
      <c r="A40" s="40"/>
      <c r="B40" s="41"/>
      <c r="C40" s="40"/>
      <c r="D40" s="41"/>
      <c r="E40" s="41"/>
      <c r="F40" s="47"/>
      <c r="G40" s="43"/>
      <c r="I40" s="42"/>
      <c r="K40" s="6"/>
    </row>
    <row r="41" spans="1:11" s="50" customFormat="1" x14ac:dyDescent="0.2">
      <c r="A41" s="40"/>
      <c r="B41" s="41"/>
      <c r="C41" s="40"/>
      <c r="D41" s="41"/>
      <c r="E41" s="41"/>
      <c r="F41" s="47"/>
      <c r="G41" s="43"/>
      <c r="I41" s="42"/>
      <c r="K41" s="6"/>
    </row>
    <row r="42" spans="1:11" s="50" customFormat="1" x14ac:dyDescent="0.2">
      <c r="A42" s="40"/>
      <c r="C42" s="40"/>
      <c r="F42" s="47"/>
      <c r="G42" s="43"/>
      <c r="I42" s="42"/>
      <c r="K42" s="6"/>
    </row>
    <row r="43" spans="1:11" s="50" customFormat="1" x14ac:dyDescent="0.2">
      <c r="A43" s="40"/>
      <c r="C43" s="40"/>
      <c r="D43" s="41"/>
      <c r="E43" s="41"/>
      <c r="F43" s="42"/>
      <c r="G43" s="51"/>
      <c r="I43" s="42"/>
      <c r="K43" s="6"/>
    </row>
    <row r="44" spans="1:11" s="50" customFormat="1" x14ac:dyDescent="0.2">
      <c r="A44" s="45"/>
      <c r="B44" s="46"/>
      <c r="C44" s="40"/>
      <c r="D44" s="46"/>
      <c r="E44" s="46"/>
      <c r="F44" s="47"/>
      <c r="G44" s="48"/>
      <c r="I44" s="42"/>
      <c r="K44" s="6"/>
    </row>
    <row r="45" spans="1:11" s="50" customFormat="1" x14ac:dyDescent="0.2">
      <c r="A45" s="40"/>
      <c r="B45" s="41"/>
      <c r="C45" s="40"/>
      <c r="D45" s="46"/>
      <c r="E45" s="46"/>
      <c r="F45" s="47"/>
      <c r="G45" s="48"/>
      <c r="I45" s="42"/>
      <c r="K45" s="6"/>
    </row>
    <row r="46" spans="1:11" s="50" customFormat="1" x14ac:dyDescent="0.2">
      <c r="A46" s="45"/>
      <c r="B46" s="46"/>
      <c r="C46" s="40"/>
      <c r="D46" s="46"/>
      <c r="E46" s="46"/>
      <c r="F46" s="47"/>
      <c r="G46" s="48"/>
      <c r="I46" s="42"/>
      <c r="K46" s="6"/>
    </row>
    <row r="47" spans="1:11" s="50" customFormat="1" x14ac:dyDescent="0.2">
      <c r="A47" s="40"/>
      <c r="C47" s="40"/>
      <c r="F47" s="42"/>
      <c r="G47" s="43"/>
      <c r="I47" s="42"/>
      <c r="K47" s="6"/>
    </row>
    <row r="48" spans="1:11" s="50" customFormat="1" x14ac:dyDescent="0.2">
      <c r="A48" s="233"/>
      <c r="B48" s="233"/>
      <c r="C48" s="53"/>
      <c r="D48" s="53"/>
      <c r="E48" s="53"/>
      <c r="F48" s="53"/>
      <c r="G48" s="53"/>
      <c r="I48" s="42"/>
      <c r="K48" s="6"/>
    </row>
    <row r="49" spans="1:11" s="50" customFormat="1" x14ac:dyDescent="0.2">
      <c r="A49" s="40"/>
      <c r="B49" s="40"/>
      <c r="C49" s="40"/>
      <c r="D49" s="40"/>
      <c r="E49" s="40"/>
      <c r="F49" s="40"/>
      <c r="G49" s="40"/>
      <c r="I49" s="42"/>
      <c r="K49" s="6"/>
    </row>
    <row r="50" spans="1:11" s="50" customFormat="1" x14ac:dyDescent="0.2">
      <c r="A50" s="45"/>
      <c r="B50" s="46"/>
      <c r="C50" s="40"/>
      <c r="D50" s="46"/>
      <c r="E50" s="46"/>
      <c r="F50" s="47"/>
      <c r="G50" s="48"/>
      <c r="I50" s="42"/>
      <c r="K50" s="6"/>
    </row>
    <row r="51" spans="1:11" s="50" customFormat="1" x14ac:dyDescent="0.2">
      <c r="A51" s="45"/>
      <c r="B51" s="46"/>
      <c r="C51" s="40"/>
      <c r="D51" s="46"/>
      <c r="E51" s="46"/>
      <c r="F51" s="47"/>
      <c r="G51" s="48"/>
      <c r="I51" s="42"/>
      <c r="K51" s="6"/>
    </row>
    <row r="52" spans="1:11" s="50" customFormat="1" x14ac:dyDescent="0.2">
      <c r="A52" s="45"/>
      <c r="B52" s="46"/>
      <c r="C52" s="40"/>
      <c r="D52" s="46"/>
      <c r="E52" s="46"/>
      <c r="F52" s="47"/>
      <c r="G52" s="48"/>
      <c r="I52" s="42"/>
      <c r="K52" s="6"/>
    </row>
    <row r="53" spans="1:11" s="50" customFormat="1" x14ac:dyDescent="0.2">
      <c r="A53" s="40"/>
      <c r="B53" s="41"/>
      <c r="C53" s="40"/>
      <c r="D53" s="46"/>
      <c r="E53" s="46"/>
      <c r="F53" s="47"/>
      <c r="G53" s="48"/>
      <c r="I53" s="42"/>
      <c r="K53" s="6"/>
    </row>
    <row r="54" spans="1:11" s="50" customFormat="1" x14ac:dyDescent="0.2">
      <c r="A54" s="45"/>
      <c r="B54" s="46"/>
      <c r="C54" s="40"/>
      <c r="D54" s="46"/>
      <c r="E54" s="46"/>
      <c r="F54" s="47"/>
      <c r="G54" s="48"/>
      <c r="I54" s="42"/>
      <c r="K54" s="6"/>
    </row>
    <row r="55" spans="1:11" s="50" customFormat="1" x14ac:dyDescent="0.2">
      <c r="A55" s="45"/>
      <c r="B55" s="46"/>
      <c r="C55" s="45"/>
      <c r="D55" s="46"/>
      <c r="E55" s="46"/>
      <c r="F55" s="47"/>
      <c r="G55" s="48"/>
      <c r="I55" s="42"/>
      <c r="K55" s="6"/>
    </row>
    <row r="56" spans="1:11" s="50" customFormat="1" x14ac:dyDescent="0.2">
      <c r="A56" s="233"/>
      <c r="B56" s="233"/>
      <c r="C56" s="53"/>
      <c r="D56" s="53"/>
      <c r="E56" s="53"/>
      <c r="F56" s="53"/>
      <c r="G56" s="53"/>
      <c r="I56" s="42"/>
      <c r="K56" s="6"/>
    </row>
    <row r="57" spans="1:11" s="50" customFormat="1" x14ac:dyDescent="0.2">
      <c r="A57" s="40"/>
      <c r="B57" s="40"/>
      <c r="C57" s="40"/>
      <c r="D57" s="40"/>
      <c r="E57" s="40"/>
      <c r="F57" s="40"/>
      <c r="G57" s="40"/>
      <c r="I57" s="42"/>
      <c r="K57" s="6"/>
    </row>
    <row r="58" spans="1:11" s="50" customFormat="1" x14ac:dyDescent="0.2">
      <c r="A58" s="45"/>
      <c r="B58" s="46"/>
      <c r="C58" s="40"/>
      <c r="D58" s="46"/>
      <c r="E58" s="46"/>
      <c r="F58" s="47"/>
      <c r="G58" s="48"/>
      <c r="I58" s="42"/>
      <c r="K58" s="6"/>
    </row>
    <row r="59" spans="1:11" s="50" customFormat="1" x14ac:dyDescent="0.2">
      <c r="A59" s="45"/>
      <c r="B59" s="46"/>
      <c r="C59" s="40"/>
      <c r="D59" s="46"/>
      <c r="E59" s="46"/>
      <c r="F59" s="47"/>
      <c r="G59" s="48"/>
      <c r="I59" s="42"/>
      <c r="K59" s="6"/>
    </row>
    <row r="60" spans="1:11" s="50" customFormat="1" x14ac:dyDescent="0.2">
      <c r="A60" s="45"/>
      <c r="B60" s="46"/>
      <c r="C60" s="40"/>
      <c r="D60" s="46"/>
      <c r="E60" s="46"/>
      <c r="F60" s="47"/>
      <c r="G60" s="48"/>
      <c r="I60" s="42"/>
      <c r="K60" s="6"/>
    </row>
    <row r="61" spans="1:11" s="50" customFormat="1" x14ac:dyDescent="0.2">
      <c r="A61" s="40"/>
      <c r="B61" s="41"/>
      <c r="C61" s="40"/>
      <c r="D61" s="46"/>
      <c r="E61" s="46"/>
      <c r="F61" s="47"/>
      <c r="G61" s="48"/>
      <c r="I61" s="42"/>
      <c r="K61" s="6"/>
    </row>
    <row r="62" spans="1:11" s="50" customFormat="1" x14ac:dyDescent="0.2">
      <c r="A62" s="45"/>
      <c r="B62" s="46"/>
      <c r="C62" s="40"/>
      <c r="D62" s="46"/>
      <c r="E62" s="46"/>
      <c r="F62" s="47"/>
      <c r="G62" s="48"/>
      <c r="I62" s="42"/>
      <c r="K62" s="6"/>
    </row>
    <row r="63" spans="1:11" s="50" customFormat="1" x14ac:dyDescent="0.2">
      <c r="A63" s="45"/>
      <c r="B63" s="46"/>
      <c r="C63" s="45"/>
      <c r="D63" s="46"/>
      <c r="E63" s="46"/>
      <c r="F63" s="47"/>
      <c r="G63" s="48"/>
      <c r="I63" s="42"/>
      <c r="K63" s="6"/>
    </row>
    <row r="64" spans="1:11" s="50" customFormat="1" x14ac:dyDescent="0.2">
      <c r="A64" s="233"/>
      <c r="B64" s="233"/>
      <c r="C64" s="53"/>
      <c r="D64" s="53"/>
      <c r="E64" s="53"/>
      <c r="F64" s="53"/>
      <c r="G64" s="53"/>
      <c r="I64" s="42"/>
      <c r="K64" s="6"/>
    </row>
    <row r="65" spans="1:11" s="50" customFormat="1" x14ac:dyDescent="0.2">
      <c r="A65" s="40"/>
      <c r="B65" s="40"/>
      <c r="C65" s="40"/>
      <c r="D65" s="40"/>
      <c r="E65" s="40"/>
      <c r="F65" s="40"/>
      <c r="G65" s="40"/>
      <c r="I65" s="42"/>
      <c r="K65" s="6"/>
    </row>
    <row r="66" spans="1:11" s="50" customFormat="1" x14ac:dyDescent="0.2">
      <c r="A66" s="45"/>
      <c r="B66" s="46"/>
      <c r="C66" s="40"/>
      <c r="D66" s="46"/>
      <c r="E66" s="46"/>
      <c r="F66" s="47"/>
      <c r="G66" s="48"/>
      <c r="I66" s="42"/>
      <c r="K66" s="6"/>
    </row>
    <row r="67" spans="1:11" s="50" customFormat="1" x14ac:dyDescent="0.2">
      <c r="A67" s="45"/>
      <c r="B67" s="46"/>
      <c r="C67" s="40"/>
      <c r="D67" s="46"/>
      <c r="E67" s="46"/>
      <c r="F67" s="47"/>
      <c r="G67" s="48"/>
      <c r="I67" s="42"/>
      <c r="K67" s="6"/>
    </row>
    <row r="68" spans="1:11" s="50" customFormat="1" x14ac:dyDescent="0.2">
      <c r="A68" s="45"/>
      <c r="B68" s="46"/>
      <c r="C68" s="40"/>
      <c r="D68" s="46"/>
      <c r="E68" s="46"/>
      <c r="F68" s="47"/>
      <c r="G68" s="48"/>
      <c r="I68" s="42"/>
      <c r="K68" s="6"/>
    </row>
    <row r="69" spans="1:11" s="50" customFormat="1" x14ac:dyDescent="0.2">
      <c r="A69" s="40"/>
      <c r="B69" s="41"/>
      <c r="C69" s="40"/>
      <c r="D69" s="46"/>
      <c r="E69" s="46"/>
      <c r="F69" s="47"/>
      <c r="G69" s="48"/>
      <c r="I69" s="42"/>
      <c r="K69" s="6"/>
    </row>
    <row r="70" spans="1:11" s="50" customFormat="1" x14ac:dyDescent="0.2">
      <c r="A70" s="40"/>
      <c r="C70" s="40"/>
      <c r="D70" s="41"/>
      <c r="E70" s="41"/>
      <c r="F70" s="42"/>
      <c r="G70" s="43"/>
      <c r="I70" s="42"/>
      <c r="K70" s="6"/>
    </row>
    <row r="71" spans="1:11" s="50" customFormat="1" x14ac:dyDescent="0.2">
      <c r="A71" s="53"/>
      <c r="B71" s="53"/>
      <c r="C71" s="53"/>
      <c r="D71" s="53"/>
      <c r="E71" s="53"/>
      <c r="F71" s="53"/>
      <c r="G71" s="53"/>
      <c r="I71" s="42"/>
      <c r="K71" s="6"/>
    </row>
    <row r="72" spans="1:11" s="50" customFormat="1" x14ac:dyDescent="0.2">
      <c r="A72" s="40"/>
      <c r="B72" s="40"/>
      <c r="C72" s="40"/>
      <c r="D72" s="40"/>
      <c r="E72" s="40"/>
      <c r="F72" s="40"/>
      <c r="G72" s="40"/>
      <c r="I72" s="42"/>
      <c r="K72" s="6"/>
    </row>
    <row r="73" spans="1:11" s="50" customFormat="1" x14ac:dyDescent="0.2">
      <c r="A73" s="40"/>
      <c r="B73" s="41"/>
      <c r="C73" s="40"/>
      <c r="D73" s="41"/>
      <c r="E73" s="41"/>
      <c r="F73" s="42"/>
      <c r="G73" s="43"/>
      <c r="I73" s="42"/>
      <c r="K73" s="6"/>
    </row>
    <row r="74" spans="1:11" s="50" customFormat="1" x14ac:dyDescent="0.2">
      <c r="A74" s="40"/>
      <c r="C74" s="40"/>
      <c r="D74" s="41"/>
      <c r="E74" s="41"/>
      <c r="F74" s="42"/>
      <c r="G74" s="43"/>
      <c r="I74" s="42"/>
      <c r="K74" s="6"/>
    </row>
    <row r="75" spans="1:11" s="50" customFormat="1" x14ac:dyDescent="0.2">
      <c r="A75" s="40"/>
      <c r="C75" s="40"/>
      <c r="D75" s="41"/>
      <c r="E75" s="41"/>
      <c r="F75" s="42"/>
      <c r="G75" s="43"/>
      <c r="I75" s="42"/>
      <c r="K75" s="6"/>
    </row>
    <row r="76" spans="1:11" s="50" customFormat="1" x14ac:dyDescent="0.2">
      <c r="A76" s="40"/>
      <c r="C76" s="40"/>
      <c r="D76" s="41"/>
      <c r="E76" s="41"/>
      <c r="F76" s="42"/>
      <c r="G76" s="43"/>
      <c r="I76" s="42"/>
      <c r="K76" s="6"/>
    </row>
    <row r="77" spans="1:11" s="50" customFormat="1" x14ac:dyDescent="0.2">
      <c r="A77" s="40"/>
      <c r="B77" s="41"/>
      <c r="C77" s="40"/>
      <c r="D77" s="41"/>
      <c r="E77" s="41"/>
      <c r="F77" s="42"/>
      <c r="G77" s="43"/>
      <c r="I77" s="42"/>
      <c r="K77" s="6"/>
    </row>
    <row r="78" spans="1:11" s="50" customFormat="1" x14ac:dyDescent="0.2">
      <c r="A78" s="40"/>
      <c r="B78" s="41"/>
      <c r="C78" s="40"/>
      <c r="D78" s="41"/>
      <c r="E78" s="41"/>
      <c r="F78" s="42"/>
      <c r="G78" s="43"/>
      <c r="I78" s="42"/>
      <c r="K78" s="6"/>
    </row>
    <row r="79" spans="1:11" s="50" customFormat="1" x14ac:dyDescent="0.2">
      <c r="A79" s="40"/>
      <c r="B79" s="41"/>
      <c r="C79" s="40"/>
      <c r="D79" s="41"/>
      <c r="E79" s="41"/>
      <c r="F79" s="42"/>
      <c r="G79" s="43"/>
      <c r="I79" s="42"/>
      <c r="K79" s="6"/>
    </row>
    <row r="80" spans="1:11" s="50" customFormat="1" x14ac:dyDescent="0.2">
      <c r="A80" s="40"/>
      <c r="C80" s="40"/>
      <c r="F80" s="42"/>
      <c r="G80" s="43"/>
      <c r="I80" s="42"/>
      <c r="K80" s="6"/>
    </row>
    <row r="81" spans="1:11" s="50" customFormat="1" x14ac:dyDescent="0.2">
      <c r="A81" s="40"/>
      <c r="B81" s="41"/>
      <c r="C81" s="40"/>
      <c r="F81" s="51"/>
      <c r="G81" s="51"/>
      <c r="I81" s="42"/>
      <c r="K81" s="6"/>
    </row>
    <row r="82" spans="1:11" s="50" customFormat="1" x14ac:dyDescent="0.2">
      <c r="A82" s="53"/>
      <c r="B82" s="53"/>
      <c r="C82" s="53"/>
      <c r="D82" s="53"/>
      <c r="E82" s="53"/>
      <c r="F82" s="53"/>
      <c r="G82" s="53"/>
      <c r="I82" s="42"/>
      <c r="K82" s="6"/>
    </row>
    <row r="83" spans="1:11" s="50" customFormat="1" x14ac:dyDescent="0.2">
      <c r="A83" s="40"/>
      <c r="B83" s="40"/>
      <c r="C83" s="40"/>
      <c r="D83" s="40"/>
      <c r="E83" s="40"/>
      <c r="F83" s="40"/>
      <c r="G83" s="40"/>
      <c r="I83" s="42"/>
      <c r="K83" s="6"/>
    </row>
    <row r="84" spans="1:11" s="50" customFormat="1" x14ac:dyDescent="0.2">
      <c r="A84" s="45"/>
      <c r="B84" s="46"/>
      <c r="C84" s="40"/>
      <c r="D84" s="46"/>
      <c r="E84" s="46"/>
      <c r="F84" s="47"/>
      <c r="G84" s="48"/>
      <c r="I84" s="42"/>
      <c r="K84" s="6"/>
    </row>
    <row r="85" spans="1:11" s="50" customFormat="1" x14ac:dyDescent="0.2">
      <c r="A85" s="45"/>
      <c r="B85" s="46"/>
      <c r="C85" s="40"/>
      <c r="D85" s="46"/>
      <c r="E85" s="46"/>
      <c r="F85" s="47"/>
      <c r="G85" s="48"/>
      <c r="I85" s="42"/>
      <c r="K85" s="6"/>
    </row>
    <row r="86" spans="1:11" s="50" customFormat="1" x14ac:dyDescent="0.2">
      <c r="A86" s="45"/>
      <c r="B86" s="46"/>
      <c r="C86" s="40"/>
      <c r="D86" s="46"/>
      <c r="E86" s="46"/>
      <c r="F86" s="47"/>
      <c r="G86" s="48"/>
      <c r="I86" s="42"/>
      <c r="K86" s="6"/>
    </row>
    <row r="87" spans="1:11" s="50" customFormat="1" x14ac:dyDescent="0.2">
      <c r="A87" s="40"/>
      <c r="B87" s="54"/>
      <c r="C87" s="40"/>
      <c r="F87" s="42"/>
      <c r="G87" s="43"/>
      <c r="I87" s="42"/>
      <c r="K87" s="6"/>
    </row>
    <row r="88" spans="1:11" s="50" customFormat="1" x14ac:dyDescent="0.2">
      <c r="A88" s="40"/>
      <c r="C88" s="40"/>
      <c r="F88" s="42"/>
      <c r="G88" s="51"/>
      <c r="I88" s="42"/>
      <c r="K88" s="6"/>
    </row>
    <row r="89" spans="1:11" s="50" customFormat="1" x14ac:dyDescent="0.2">
      <c r="A89" s="40"/>
      <c r="C89" s="40"/>
      <c r="F89" s="42"/>
      <c r="G89" s="51"/>
      <c r="I89" s="42"/>
      <c r="K89" s="6"/>
    </row>
    <row r="90" spans="1:11" s="50" customFormat="1" x14ac:dyDescent="0.2">
      <c r="A90" s="40"/>
      <c r="C90" s="40"/>
      <c r="F90" s="42"/>
      <c r="G90" s="51"/>
      <c r="I90" s="42"/>
      <c r="K90" s="6"/>
    </row>
    <row r="91" spans="1:11" s="50" customFormat="1" x14ac:dyDescent="0.2">
      <c r="A91" s="40"/>
      <c r="B91" s="41"/>
      <c r="C91" s="40"/>
      <c r="F91" s="42"/>
      <c r="G91" s="51"/>
      <c r="I91" s="42"/>
      <c r="K91" s="6"/>
    </row>
    <row r="92" spans="1:11" s="50" customFormat="1" x14ac:dyDescent="0.2">
      <c r="C92" s="40"/>
      <c r="I92" s="42"/>
      <c r="K92" s="6"/>
    </row>
    <row r="93" spans="1:11" s="50" customFormat="1" x14ac:dyDescent="0.2">
      <c r="A93" s="53"/>
      <c r="C93" s="40"/>
      <c r="I93" s="42"/>
      <c r="K93" s="6"/>
    </row>
    <row r="94" spans="1:11" s="50" customFormat="1" x14ac:dyDescent="0.2">
      <c r="A94" s="40"/>
      <c r="B94" s="40"/>
      <c r="C94" s="40"/>
      <c r="D94" s="41"/>
      <c r="E94" s="41"/>
      <c r="F94" s="41"/>
      <c r="G94" s="41"/>
      <c r="I94" s="42"/>
      <c r="K94" s="6"/>
    </row>
    <row r="95" spans="1:11" s="50" customFormat="1" x14ac:dyDescent="0.2">
      <c r="A95" s="40"/>
      <c r="C95" s="40"/>
      <c r="D95" s="41"/>
      <c r="E95" s="41"/>
      <c r="F95" s="42"/>
      <c r="G95" s="55"/>
      <c r="I95" s="42"/>
      <c r="K95" s="6"/>
    </row>
    <row r="96" spans="1:11" s="50" customFormat="1" x14ac:dyDescent="0.2">
      <c r="A96" s="40"/>
      <c r="B96" s="41"/>
      <c r="C96" s="40"/>
      <c r="D96" s="41"/>
      <c r="E96" s="41"/>
      <c r="F96" s="42"/>
      <c r="G96" s="55"/>
      <c r="I96" s="42"/>
      <c r="K96" s="6"/>
    </row>
    <row r="97" spans="1:11" s="50" customFormat="1" x14ac:dyDescent="0.2">
      <c r="A97" s="40"/>
      <c r="C97" s="40"/>
      <c r="F97" s="42"/>
      <c r="G97" s="42"/>
      <c r="I97" s="42"/>
      <c r="K97" s="6"/>
    </row>
    <row r="98" spans="1:11" s="50" customFormat="1" x14ac:dyDescent="0.2">
      <c r="A98" s="40"/>
      <c r="C98" s="40"/>
      <c r="F98" s="42"/>
      <c r="G98" s="42"/>
      <c r="I98" s="42"/>
      <c r="K98" s="6"/>
    </row>
    <row r="99" spans="1:11" s="50" customFormat="1" x14ac:dyDescent="0.2">
      <c r="A99" s="40"/>
      <c r="C99" s="40"/>
      <c r="F99" s="42"/>
      <c r="G99" s="42"/>
      <c r="I99" s="42"/>
      <c r="K99" s="6"/>
    </row>
    <row r="100" spans="1:11" s="50" customFormat="1" x14ac:dyDescent="0.2">
      <c r="A100" s="40"/>
      <c r="C100" s="40"/>
      <c r="F100" s="42"/>
      <c r="G100" s="42"/>
      <c r="I100" s="42"/>
      <c r="K100" s="6"/>
    </row>
    <row r="101" spans="1:11" s="50" customFormat="1" x14ac:dyDescent="0.2">
      <c r="A101" s="40"/>
      <c r="C101" s="40"/>
      <c r="F101" s="42"/>
      <c r="G101" s="42"/>
      <c r="I101" s="42"/>
      <c r="K101" s="6"/>
    </row>
    <row r="102" spans="1:11" s="50" customFormat="1" x14ac:dyDescent="0.2">
      <c r="C102" s="40"/>
      <c r="I102" s="42"/>
      <c r="K102" s="6"/>
    </row>
    <row r="103" spans="1:11" s="50" customFormat="1" x14ac:dyDescent="0.2">
      <c r="C103" s="40"/>
      <c r="I103" s="42"/>
      <c r="K103" s="6"/>
    </row>
    <row r="104" spans="1:11" s="50" customFormat="1" x14ac:dyDescent="0.2">
      <c r="C104" s="40"/>
      <c r="I104" s="42"/>
      <c r="K104" s="6"/>
    </row>
    <row r="105" spans="1:11" s="50" customFormat="1" x14ac:dyDescent="0.2">
      <c r="C105" s="40"/>
      <c r="I105" s="42"/>
      <c r="K105" s="6"/>
    </row>
    <row r="106" spans="1:11" s="50" customFormat="1" x14ac:dyDescent="0.2">
      <c r="C106" s="40"/>
      <c r="I106" s="42"/>
      <c r="K106" s="6"/>
    </row>
    <row r="107" spans="1:11" s="50" customFormat="1" x14ac:dyDescent="0.2">
      <c r="C107" s="40"/>
      <c r="G107" s="56"/>
      <c r="I107" s="42"/>
      <c r="K107" s="6"/>
    </row>
    <row r="108" spans="1:11" s="50" customFormat="1" x14ac:dyDescent="0.2">
      <c r="C108" s="40"/>
      <c r="I108" s="42"/>
      <c r="K108" s="6"/>
    </row>
  </sheetData>
  <mergeCells count="8">
    <mergeCell ref="A64:B64"/>
    <mergeCell ref="A1:G3"/>
    <mergeCell ref="A35:B35"/>
    <mergeCell ref="A48:B48"/>
    <mergeCell ref="A56:B56"/>
    <mergeCell ref="E6:F6"/>
    <mergeCell ref="E13:F13"/>
    <mergeCell ref="E20:F20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6699-A797-4192-9B6D-F11DD2C4621A}">
  <dimension ref="A1:H458"/>
  <sheetViews>
    <sheetView showGridLines="0" topLeftCell="B412" zoomScaleNormal="100" workbookViewId="0">
      <selection activeCell="G440" sqref="G440"/>
    </sheetView>
  </sheetViews>
  <sheetFormatPr defaultColWidth="9.140625" defaultRowHeight="12.75" x14ac:dyDescent="0.2"/>
  <cols>
    <col min="1" max="1" width="11.7109375" style="1" customWidth="1"/>
    <col min="2" max="2" width="11.42578125" style="1" customWidth="1"/>
    <col min="3" max="3" width="1.42578125" style="1" customWidth="1"/>
    <col min="4" max="4" width="41" style="58" customWidth="1"/>
    <col min="5" max="5" width="10.85546875" style="58" customWidth="1"/>
    <col min="6" max="6" width="2" style="1" customWidth="1"/>
    <col min="7" max="7" width="20.28515625" style="1" customWidth="1"/>
    <col min="8" max="8" width="9.140625" style="212"/>
    <col min="9" max="16384" width="9.140625" style="1"/>
  </cols>
  <sheetData>
    <row r="1" spans="1:7" x14ac:dyDescent="0.2">
      <c r="A1" s="226"/>
      <c r="B1" s="226"/>
      <c r="C1" s="226"/>
      <c r="D1" s="226"/>
      <c r="E1" s="226"/>
      <c r="F1" s="226"/>
      <c r="G1" s="226"/>
    </row>
    <row r="2" spans="1:7" ht="12.75" customHeight="1" x14ac:dyDescent="0.2">
      <c r="A2" s="226"/>
      <c r="B2" s="226"/>
      <c r="C2" s="226"/>
      <c r="D2" s="226"/>
      <c r="E2" s="226"/>
      <c r="F2" s="226"/>
      <c r="G2" s="226"/>
    </row>
    <row r="3" spans="1:7" ht="12.75" customHeight="1" x14ac:dyDescent="0.2">
      <c r="A3" s="226"/>
      <c r="B3" s="226"/>
      <c r="C3" s="226"/>
      <c r="D3" s="226"/>
      <c r="E3" s="226"/>
      <c r="F3" s="226"/>
      <c r="G3" s="226"/>
    </row>
    <row r="4" spans="1:7" x14ac:dyDescent="0.2">
      <c r="B4" s="2"/>
      <c r="C4" s="3"/>
      <c r="D4" s="2"/>
      <c r="E4" s="2"/>
      <c r="G4" s="2"/>
    </row>
    <row r="5" spans="1:7" ht="15" x14ac:dyDescent="0.2">
      <c r="A5" s="156" t="s">
        <v>115</v>
      </c>
      <c r="B5" s="154"/>
      <c r="C5" s="154"/>
      <c r="D5" s="157"/>
      <c r="E5" s="157"/>
      <c r="F5" s="156"/>
      <c r="G5" s="154"/>
    </row>
    <row r="6" spans="1:7" x14ac:dyDescent="0.2">
      <c r="A6" s="158" t="s">
        <v>1</v>
      </c>
      <c r="B6" s="159" t="s">
        <v>2</v>
      </c>
      <c r="C6" s="158"/>
      <c r="D6" s="158" t="s">
        <v>116</v>
      </c>
      <c r="E6" s="158"/>
      <c r="F6" s="158"/>
      <c r="G6" s="159" t="s">
        <v>5</v>
      </c>
    </row>
    <row r="7" spans="1:7" ht="12.75" customHeight="1" x14ac:dyDescent="0.2">
      <c r="A7" s="110">
        <v>7203</v>
      </c>
      <c r="B7" s="111" t="s">
        <v>117</v>
      </c>
      <c r="C7" s="111"/>
      <c r="D7" s="112" t="s">
        <v>118</v>
      </c>
      <c r="E7" s="112"/>
      <c r="F7" s="110"/>
      <c r="G7" s="113">
        <v>45.4</v>
      </c>
    </row>
    <row r="8" spans="1:7" x14ac:dyDescent="0.2">
      <c r="A8" s="122">
        <v>7204</v>
      </c>
      <c r="B8" s="123" t="s">
        <v>119</v>
      </c>
      <c r="C8" s="123"/>
      <c r="D8" s="138" t="s">
        <v>118</v>
      </c>
      <c r="E8" s="138"/>
      <c r="F8" s="122"/>
      <c r="G8" s="132">
        <v>47.9</v>
      </c>
    </row>
    <row r="9" spans="1:7" x14ac:dyDescent="0.2">
      <c r="A9" s="110">
        <v>7208</v>
      </c>
      <c r="B9" s="111" t="s">
        <v>117</v>
      </c>
      <c r="C9" s="111"/>
      <c r="D9" s="112" t="s">
        <v>120</v>
      </c>
      <c r="E9" s="112"/>
      <c r="F9" s="110"/>
      <c r="G9" s="113">
        <v>31</v>
      </c>
    </row>
    <row r="10" spans="1:7" x14ac:dyDescent="0.2">
      <c r="A10" s="122">
        <v>7209</v>
      </c>
      <c r="B10" s="123" t="s">
        <v>119</v>
      </c>
      <c r="C10" s="123"/>
      <c r="D10" s="138" t="s">
        <v>121</v>
      </c>
      <c r="E10" s="138"/>
      <c r="F10" s="122"/>
      <c r="G10" s="132">
        <v>31</v>
      </c>
    </row>
    <row r="11" spans="1:7" ht="12.75" customHeight="1" x14ac:dyDescent="0.2">
      <c r="A11" s="110">
        <v>7211</v>
      </c>
      <c r="B11" s="111"/>
      <c r="C11" s="111"/>
      <c r="D11" s="112" t="s">
        <v>122</v>
      </c>
      <c r="E11" s="112"/>
      <c r="F11" s="110"/>
      <c r="G11" s="113">
        <v>3</v>
      </c>
    </row>
    <row r="12" spans="1:7" x14ac:dyDescent="0.2">
      <c r="A12" s="122">
        <v>7212</v>
      </c>
      <c r="B12" s="123"/>
      <c r="C12" s="123"/>
      <c r="D12" s="138" t="s">
        <v>123</v>
      </c>
      <c r="E12" s="138"/>
      <c r="F12" s="122"/>
      <c r="G12" s="132">
        <v>153.30000000000001</v>
      </c>
    </row>
    <row r="13" spans="1:7" x14ac:dyDescent="0.2">
      <c r="A13" s="110">
        <v>7213</v>
      </c>
      <c r="B13" s="111"/>
      <c r="C13" s="111"/>
      <c r="D13" s="112" t="s">
        <v>124</v>
      </c>
      <c r="E13" s="112"/>
      <c r="F13" s="110"/>
      <c r="G13" s="113">
        <v>126.6</v>
      </c>
    </row>
    <row r="14" spans="1:7" x14ac:dyDescent="0.2">
      <c r="A14" s="122">
        <v>7215</v>
      </c>
      <c r="B14" s="123"/>
      <c r="C14" s="123"/>
      <c r="D14" s="138" t="s">
        <v>125</v>
      </c>
      <c r="E14" s="138"/>
      <c r="F14" s="122"/>
      <c r="G14" s="132">
        <v>9</v>
      </c>
    </row>
    <row r="15" spans="1:7" ht="12.75" customHeight="1" x14ac:dyDescent="0.2">
      <c r="A15" s="110">
        <v>7540</v>
      </c>
      <c r="B15" s="111"/>
      <c r="C15" s="111"/>
      <c r="D15" s="112" t="s">
        <v>126</v>
      </c>
      <c r="E15" s="112"/>
      <c r="F15" s="110"/>
      <c r="G15" s="113">
        <v>17.8</v>
      </c>
    </row>
    <row r="17" spans="1:7" ht="15" x14ac:dyDescent="0.2">
      <c r="A17" s="156" t="s">
        <v>560</v>
      </c>
      <c r="B17" s="154"/>
      <c r="C17" s="154"/>
      <c r="D17" s="157"/>
      <c r="E17" s="157"/>
      <c r="F17" s="156"/>
      <c r="G17" s="154"/>
    </row>
    <row r="18" spans="1:7" x14ac:dyDescent="0.2">
      <c r="A18" s="158" t="s">
        <v>1</v>
      </c>
      <c r="B18" s="159" t="s">
        <v>2</v>
      </c>
      <c r="C18" s="158"/>
      <c r="D18" s="158" t="s">
        <v>116</v>
      </c>
      <c r="E18" s="159"/>
      <c r="F18" s="158"/>
      <c r="G18" s="159" t="s">
        <v>5</v>
      </c>
    </row>
    <row r="19" spans="1:7" x14ac:dyDescent="0.2">
      <c r="A19" s="110">
        <v>1082</v>
      </c>
      <c r="B19" s="111" t="s">
        <v>563</v>
      </c>
      <c r="C19" s="111"/>
      <c r="D19" s="112" t="s">
        <v>128</v>
      </c>
      <c r="E19" s="111"/>
      <c r="F19" s="110"/>
      <c r="G19" s="113">
        <v>51.4</v>
      </c>
    </row>
    <row r="20" spans="1:7" x14ac:dyDescent="0.2">
      <c r="A20" s="122">
        <v>1096</v>
      </c>
      <c r="B20" s="123" t="s">
        <v>563</v>
      </c>
      <c r="C20" s="123"/>
      <c r="D20" s="138" t="s">
        <v>561</v>
      </c>
      <c r="E20" s="123"/>
      <c r="F20" s="124"/>
      <c r="G20" s="132">
        <v>51.4</v>
      </c>
    </row>
    <row r="21" spans="1:7" x14ac:dyDescent="0.2">
      <c r="A21" s="110">
        <v>1097</v>
      </c>
      <c r="B21" s="111" t="s">
        <v>563</v>
      </c>
      <c r="C21" s="111"/>
      <c r="D21" s="112" t="s">
        <v>562</v>
      </c>
      <c r="E21" s="111"/>
      <c r="F21" s="110"/>
      <c r="G21" s="113">
        <v>54.5</v>
      </c>
    </row>
    <row r="22" spans="1:7" x14ac:dyDescent="0.2">
      <c r="A22" s="122">
        <v>7612</v>
      </c>
      <c r="B22" s="123" t="s">
        <v>563</v>
      </c>
      <c r="C22" s="123"/>
      <c r="D22" s="138" t="s">
        <v>133</v>
      </c>
      <c r="E22" s="123"/>
      <c r="F22" s="122"/>
      <c r="G22" s="132">
        <v>52.6</v>
      </c>
    </row>
    <row r="24" spans="1:7" ht="15" x14ac:dyDescent="0.2">
      <c r="A24" s="156" t="s">
        <v>564</v>
      </c>
      <c r="B24" s="154"/>
      <c r="C24" s="154"/>
      <c r="D24" s="157"/>
      <c r="E24" s="157"/>
      <c r="F24" s="156"/>
      <c r="G24" s="154"/>
    </row>
    <row r="25" spans="1:7" x14ac:dyDescent="0.2">
      <c r="A25" s="158" t="s">
        <v>1</v>
      </c>
      <c r="B25" s="159" t="s">
        <v>2</v>
      </c>
      <c r="C25" s="158"/>
      <c r="D25" s="158" t="s">
        <v>116</v>
      </c>
      <c r="E25" s="159"/>
      <c r="F25" s="158"/>
      <c r="G25" s="159" t="s">
        <v>5</v>
      </c>
    </row>
    <row r="26" spans="1:7" x14ac:dyDescent="0.2">
      <c r="A26" s="110">
        <v>1051</v>
      </c>
      <c r="B26" s="111" t="s">
        <v>565</v>
      </c>
      <c r="C26" s="111"/>
      <c r="D26" s="112" t="s">
        <v>128</v>
      </c>
      <c r="E26" s="111"/>
      <c r="F26" s="110"/>
      <c r="G26" s="113">
        <v>52.5</v>
      </c>
    </row>
    <row r="27" spans="1:7" x14ac:dyDescent="0.2">
      <c r="A27" s="122">
        <v>1066</v>
      </c>
      <c r="B27" s="123" t="s">
        <v>565</v>
      </c>
      <c r="C27" s="123"/>
      <c r="D27" s="138" t="s">
        <v>133</v>
      </c>
      <c r="E27" s="123"/>
      <c r="F27" s="124"/>
      <c r="G27" s="132">
        <v>54.9</v>
      </c>
    </row>
    <row r="28" spans="1:7" x14ac:dyDescent="0.2">
      <c r="A28" s="110">
        <v>1042</v>
      </c>
      <c r="B28" s="111" t="s">
        <v>565</v>
      </c>
      <c r="C28" s="111"/>
      <c r="D28" s="112" t="s">
        <v>134</v>
      </c>
      <c r="E28" s="111"/>
      <c r="F28" s="110"/>
      <c r="G28" s="113">
        <v>55.8</v>
      </c>
    </row>
    <row r="29" spans="1:7" x14ac:dyDescent="0.2">
      <c r="A29" s="122">
        <v>1053</v>
      </c>
      <c r="B29" s="123" t="s">
        <v>565</v>
      </c>
      <c r="C29" s="123"/>
      <c r="D29" s="138" t="s">
        <v>566</v>
      </c>
      <c r="E29" s="123"/>
      <c r="F29" s="122"/>
      <c r="G29" s="132">
        <v>55.8</v>
      </c>
    </row>
    <row r="31" spans="1:7" ht="15" x14ac:dyDescent="0.2">
      <c r="A31" s="156" t="s">
        <v>127</v>
      </c>
      <c r="B31" s="154"/>
      <c r="C31" s="154"/>
      <c r="D31" s="157"/>
      <c r="E31" s="157"/>
      <c r="F31" s="156"/>
      <c r="G31" s="154"/>
    </row>
    <row r="32" spans="1:7" x14ac:dyDescent="0.2">
      <c r="A32" s="158" t="s">
        <v>1</v>
      </c>
      <c r="B32" s="159" t="s">
        <v>2</v>
      </c>
      <c r="C32" s="158"/>
      <c r="D32" s="158" t="s">
        <v>116</v>
      </c>
      <c r="E32" s="159"/>
      <c r="F32" s="158"/>
      <c r="G32" s="159" t="s">
        <v>5</v>
      </c>
    </row>
    <row r="33" spans="1:8" x14ac:dyDescent="0.2">
      <c r="A33" s="110">
        <v>1071</v>
      </c>
      <c r="B33" s="111" t="s">
        <v>117</v>
      </c>
      <c r="C33" s="111"/>
      <c r="D33" s="112" t="s">
        <v>128</v>
      </c>
      <c r="E33" s="111"/>
      <c r="F33" s="110"/>
      <c r="G33" s="113">
        <v>47.5</v>
      </c>
    </row>
    <row r="34" spans="1:8" x14ac:dyDescent="0.2">
      <c r="A34" s="122">
        <v>1049</v>
      </c>
      <c r="B34" s="123" t="s">
        <v>117</v>
      </c>
      <c r="C34" s="123"/>
      <c r="D34" s="138" t="s">
        <v>129</v>
      </c>
      <c r="E34" s="123"/>
      <c r="F34" s="124"/>
      <c r="G34" s="132">
        <v>48.8</v>
      </c>
    </row>
    <row r="35" spans="1:8" x14ac:dyDescent="0.2">
      <c r="A35" s="110">
        <v>1079</v>
      </c>
      <c r="B35" s="111" t="s">
        <v>117</v>
      </c>
      <c r="C35" s="111"/>
      <c r="D35" s="112" t="s">
        <v>130</v>
      </c>
      <c r="E35" s="111"/>
      <c r="F35" s="110"/>
      <c r="G35" s="113">
        <v>50.2</v>
      </c>
    </row>
    <row r="36" spans="1:8" x14ac:dyDescent="0.2">
      <c r="A36" s="122">
        <v>1074</v>
      </c>
      <c r="B36" s="123" t="s">
        <v>117</v>
      </c>
      <c r="C36" s="123"/>
      <c r="D36" s="138" t="s">
        <v>131</v>
      </c>
      <c r="E36" s="123"/>
      <c r="F36" s="122"/>
      <c r="G36" s="132">
        <v>53</v>
      </c>
    </row>
    <row r="37" spans="1:8" x14ac:dyDescent="0.2">
      <c r="A37" s="110">
        <v>1077</v>
      </c>
      <c r="B37" s="111" t="s">
        <v>117</v>
      </c>
      <c r="C37" s="111"/>
      <c r="D37" s="112" t="s">
        <v>132</v>
      </c>
      <c r="E37" s="111"/>
      <c r="F37" s="110"/>
      <c r="G37" s="113">
        <v>54.2</v>
      </c>
      <c r="H37" s="1"/>
    </row>
    <row r="38" spans="1:8" x14ac:dyDescent="0.2">
      <c r="A38" s="122">
        <v>1078</v>
      </c>
      <c r="B38" s="123" t="s">
        <v>117</v>
      </c>
      <c r="C38" s="123"/>
      <c r="D38" s="138" t="s">
        <v>133</v>
      </c>
      <c r="E38" s="123"/>
      <c r="F38" s="122"/>
      <c r="G38" s="132">
        <v>52.2</v>
      </c>
    </row>
    <row r="39" spans="1:8" x14ac:dyDescent="0.2">
      <c r="A39" s="110">
        <v>1075</v>
      </c>
      <c r="B39" s="111" t="s">
        <v>117</v>
      </c>
      <c r="C39" s="111"/>
      <c r="D39" s="112" t="s">
        <v>134</v>
      </c>
      <c r="E39" s="111"/>
      <c r="F39" s="110"/>
      <c r="G39" s="113">
        <v>51.2</v>
      </c>
    </row>
    <row r="40" spans="1:8" x14ac:dyDescent="0.2">
      <c r="A40" s="8"/>
      <c r="B40" s="8"/>
      <c r="C40" s="8"/>
      <c r="D40" s="60"/>
      <c r="E40" s="60"/>
      <c r="F40" s="8"/>
      <c r="G40" s="8"/>
    </row>
    <row r="41" spans="1:8" ht="15" x14ac:dyDescent="0.2">
      <c r="A41" s="156" t="s">
        <v>135</v>
      </c>
      <c r="B41" s="154"/>
      <c r="C41" s="154"/>
      <c r="D41" s="157"/>
      <c r="E41" s="157"/>
      <c r="F41" s="156"/>
      <c r="G41" s="154"/>
    </row>
    <row r="42" spans="1:8" x14ac:dyDescent="0.2">
      <c r="A42" s="158" t="s">
        <v>1</v>
      </c>
      <c r="B42" s="159" t="s">
        <v>2</v>
      </c>
      <c r="C42" s="158"/>
      <c r="D42" s="158" t="s">
        <v>116</v>
      </c>
      <c r="E42" s="159"/>
      <c r="F42" s="158"/>
      <c r="G42" s="159" t="s">
        <v>5</v>
      </c>
    </row>
    <row r="43" spans="1:8" x14ac:dyDescent="0.2">
      <c r="A43" s="110">
        <v>1061</v>
      </c>
      <c r="B43" s="111" t="s">
        <v>119</v>
      </c>
      <c r="C43" s="111"/>
      <c r="D43" s="112" t="s">
        <v>128</v>
      </c>
      <c r="E43" s="111"/>
      <c r="F43" s="110"/>
      <c r="G43" s="113">
        <v>54.6</v>
      </c>
    </row>
    <row r="44" spans="1:8" x14ac:dyDescent="0.2">
      <c r="A44" s="122">
        <v>1086</v>
      </c>
      <c r="B44" s="123" t="s">
        <v>119</v>
      </c>
      <c r="C44" s="123"/>
      <c r="D44" s="138" t="s">
        <v>129</v>
      </c>
      <c r="E44" s="123"/>
      <c r="F44" s="122"/>
      <c r="G44" s="132">
        <v>57.3</v>
      </c>
    </row>
    <row r="45" spans="1:8" x14ac:dyDescent="0.2">
      <c r="A45" s="110">
        <v>1081</v>
      </c>
      <c r="B45" s="111" t="s">
        <v>119</v>
      </c>
      <c r="C45" s="111"/>
      <c r="D45" s="112" t="s">
        <v>130</v>
      </c>
      <c r="E45" s="111"/>
      <c r="F45" s="110"/>
      <c r="G45" s="113">
        <v>60.2</v>
      </c>
    </row>
    <row r="46" spans="1:8" x14ac:dyDescent="0.2">
      <c r="A46" s="122">
        <v>1067</v>
      </c>
      <c r="B46" s="123" t="s">
        <v>119</v>
      </c>
      <c r="C46" s="123"/>
      <c r="D46" s="138" t="s">
        <v>131</v>
      </c>
      <c r="E46" s="123"/>
      <c r="F46" s="122"/>
      <c r="G46" s="132">
        <v>66.099999999999994</v>
      </c>
      <c r="H46" s="1"/>
    </row>
    <row r="47" spans="1:8" x14ac:dyDescent="0.2">
      <c r="A47" s="110">
        <v>1065</v>
      </c>
      <c r="B47" s="111" t="s">
        <v>119</v>
      </c>
      <c r="C47" s="111"/>
      <c r="D47" s="112" t="s">
        <v>132</v>
      </c>
      <c r="E47" s="111"/>
      <c r="F47" s="110"/>
      <c r="G47" s="113">
        <v>68.5</v>
      </c>
      <c r="H47" s="1"/>
    </row>
    <row r="48" spans="1:8" x14ac:dyDescent="0.2">
      <c r="A48" s="122">
        <v>1083</v>
      </c>
      <c r="B48" s="123" t="s">
        <v>119</v>
      </c>
      <c r="C48" s="123"/>
      <c r="D48" s="138" t="s">
        <v>133</v>
      </c>
      <c r="E48" s="123"/>
      <c r="F48" s="122"/>
      <c r="G48" s="132">
        <v>64.400000000000006</v>
      </c>
    </row>
    <row r="49" spans="1:8" x14ac:dyDescent="0.2">
      <c r="A49" s="110">
        <v>1068</v>
      </c>
      <c r="B49" s="111" t="s">
        <v>119</v>
      </c>
      <c r="C49" s="110"/>
      <c r="D49" s="112" t="s">
        <v>136</v>
      </c>
      <c r="E49" s="111"/>
      <c r="F49" s="110"/>
      <c r="G49" s="113">
        <v>58.7</v>
      </c>
    </row>
    <row r="50" spans="1:8" x14ac:dyDescent="0.2">
      <c r="A50" s="122">
        <v>1064</v>
      </c>
      <c r="B50" s="123" t="s">
        <v>119</v>
      </c>
      <c r="C50" s="123"/>
      <c r="D50" s="138" t="s">
        <v>137</v>
      </c>
      <c r="E50" s="123"/>
      <c r="F50" s="122"/>
      <c r="G50" s="132">
        <v>58.7</v>
      </c>
    </row>
    <row r="51" spans="1:8" s="50" customFormat="1" x14ac:dyDescent="0.2">
      <c r="A51" s="110">
        <v>1069</v>
      </c>
      <c r="B51" s="111" t="s">
        <v>119</v>
      </c>
      <c r="C51" s="111"/>
      <c r="D51" s="112" t="s">
        <v>134</v>
      </c>
      <c r="E51" s="111"/>
      <c r="F51" s="110"/>
      <c r="G51" s="113">
        <v>59.1</v>
      </c>
      <c r="H51" s="212"/>
    </row>
    <row r="52" spans="1:8" s="50" customFormat="1" x14ac:dyDescent="0.2">
      <c r="A52" s="3"/>
      <c r="B52" s="2"/>
      <c r="C52" s="2"/>
      <c r="D52" s="58"/>
      <c r="E52" s="2"/>
      <c r="F52" s="3"/>
      <c r="G52" s="6"/>
      <c r="H52" s="212"/>
    </row>
    <row r="53" spans="1:8" s="50" customFormat="1" ht="15" x14ac:dyDescent="0.2">
      <c r="A53" s="156" t="s">
        <v>138</v>
      </c>
      <c r="B53" s="154"/>
      <c r="C53" s="154"/>
      <c r="D53" s="157"/>
      <c r="E53" s="157"/>
      <c r="F53" s="156"/>
      <c r="G53" s="154"/>
      <c r="H53" s="212"/>
    </row>
    <row r="54" spans="1:8" s="50" customFormat="1" x14ac:dyDescent="0.2">
      <c r="A54" s="158" t="s">
        <v>1</v>
      </c>
      <c r="B54" s="159" t="s">
        <v>2</v>
      </c>
      <c r="C54" s="158"/>
      <c r="D54" s="158" t="s">
        <v>116</v>
      </c>
      <c r="E54" s="159"/>
      <c r="F54" s="158"/>
      <c r="G54" s="159" t="s">
        <v>5</v>
      </c>
      <c r="H54" s="212"/>
    </row>
    <row r="55" spans="1:8" s="50" customFormat="1" x14ac:dyDescent="0.2">
      <c r="A55" s="110">
        <v>1041</v>
      </c>
      <c r="B55" s="111" t="s">
        <v>139</v>
      </c>
      <c r="C55" s="111"/>
      <c r="D55" s="112" t="s">
        <v>129</v>
      </c>
      <c r="E55" s="111"/>
      <c r="F55" s="110"/>
      <c r="G55" s="113">
        <v>126.6</v>
      </c>
      <c r="H55" s="212"/>
    </row>
    <row r="56" spans="1:8" s="50" customFormat="1" x14ac:dyDescent="0.2">
      <c r="A56" s="122">
        <v>1087</v>
      </c>
      <c r="B56" s="123" t="s">
        <v>139</v>
      </c>
      <c r="C56" s="123"/>
      <c r="D56" s="138" t="s">
        <v>128</v>
      </c>
      <c r="E56" s="123"/>
      <c r="F56" s="122"/>
      <c r="G56" s="132">
        <v>121.2</v>
      </c>
      <c r="H56" s="212"/>
    </row>
    <row r="57" spans="1:8" s="50" customFormat="1" x14ac:dyDescent="0.2">
      <c r="A57" s="110">
        <v>1070</v>
      </c>
      <c r="B57" s="111" t="s">
        <v>139</v>
      </c>
      <c r="C57" s="111"/>
      <c r="D57" s="112" t="s">
        <v>133</v>
      </c>
      <c r="E57" s="111"/>
      <c r="F57" s="110"/>
      <c r="G57" s="113">
        <v>140.9</v>
      </c>
      <c r="H57" s="212"/>
    </row>
    <row r="58" spans="1:8" s="50" customFormat="1" x14ac:dyDescent="0.2">
      <c r="A58" s="217">
        <v>1060</v>
      </c>
      <c r="B58" s="218" t="s">
        <v>139</v>
      </c>
      <c r="C58" s="218"/>
      <c r="D58" s="219" t="s">
        <v>137</v>
      </c>
      <c r="E58" s="218"/>
      <c r="F58" s="217"/>
      <c r="G58" s="220">
        <v>126.5</v>
      </c>
      <c r="H58" s="212"/>
    </row>
    <row r="59" spans="1:8" s="50" customFormat="1" x14ac:dyDescent="0.2">
      <c r="A59" s="110">
        <v>1095</v>
      </c>
      <c r="B59" s="111" t="s">
        <v>139</v>
      </c>
      <c r="C59" s="111"/>
      <c r="D59" s="112" t="s">
        <v>134</v>
      </c>
      <c r="E59" s="111"/>
      <c r="F59" s="110"/>
      <c r="G59" s="113">
        <v>127.4</v>
      </c>
      <c r="H59" s="212"/>
    </row>
    <row r="60" spans="1:8" s="50" customFormat="1" x14ac:dyDescent="0.2">
      <c r="A60" s="3"/>
      <c r="B60" s="2"/>
      <c r="C60" s="2"/>
      <c r="D60" s="58"/>
      <c r="E60" s="2"/>
      <c r="F60" s="3"/>
      <c r="G60" s="6"/>
      <c r="H60" s="212"/>
    </row>
    <row r="61" spans="1:8" s="50" customFormat="1" ht="15" x14ac:dyDescent="0.2">
      <c r="A61" s="156" t="s">
        <v>140</v>
      </c>
      <c r="B61" s="154"/>
      <c r="C61" s="154"/>
      <c r="D61" s="157"/>
      <c r="E61" s="157"/>
      <c r="F61" s="156"/>
      <c r="G61" s="154"/>
      <c r="H61" s="212"/>
    </row>
    <row r="62" spans="1:8" s="50" customFormat="1" x14ac:dyDescent="0.2">
      <c r="A62" s="158" t="s">
        <v>1</v>
      </c>
      <c r="B62" s="159"/>
      <c r="C62" s="158"/>
      <c r="D62" s="162" t="s">
        <v>116</v>
      </c>
      <c r="E62" s="158"/>
      <c r="F62" s="158"/>
      <c r="G62" s="159" t="s">
        <v>5</v>
      </c>
      <c r="H62" s="212"/>
    </row>
    <row r="63" spans="1:8" s="50" customFormat="1" x14ac:dyDescent="0.2">
      <c r="A63" s="110">
        <v>1702</v>
      </c>
      <c r="B63" s="114"/>
      <c r="C63" s="114"/>
      <c r="D63" s="112" t="s">
        <v>141</v>
      </c>
      <c r="E63" s="112"/>
      <c r="F63" s="110"/>
      <c r="G63" s="113">
        <v>24.9</v>
      </c>
      <c r="H63" s="212"/>
    </row>
    <row r="64" spans="1:8" s="50" customFormat="1" ht="12.75" customHeight="1" x14ac:dyDescent="0.2">
      <c r="A64" s="122">
        <v>1706</v>
      </c>
      <c r="B64" s="124"/>
      <c r="C64" s="124"/>
      <c r="D64" s="138" t="s">
        <v>142</v>
      </c>
      <c r="E64" s="138"/>
      <c r="F64" s="139" t="s">
        <v>23</v>
      </c>
      <c r="G64" s="132">
        <v>2.7</v>
      </c>
      <c r="H64" s="212"/>
    </row>
    <row r="65" spans="1:8" s="50" customFormat="1" x14ac:dyDescent="0.2">
      <c r="A65" s="1"/>
      <c r="B65" s="1"/>
      <c r="C65" s="1"/>
      <c r="D65" s="1"/>
      <c r="E65" s="1"/>
      <c r="F65" s="1"/>
      <c r="G65" s="1"/>
      <c r="H65" s="212"/>
    </row>
    <row r="66" spans="1:8" s="50" customFormat="1" ht="15" x14ac:dyDescent="0.2">
      <c r="A66" s="156" t="s">
        <v>143</v>
      </c>
      <c r="B66" s="154"/>
      <c r="C66" s="154"/>
      <c r="D66" s="157"/>
      <c r="E66" s="157"/>
      <c r="F66" s="156"/>
      <c r="G66" s="154"/>
      <c r="H66" s="212"/>
    </row>
    <row r="67" spans="1:8" s="50" customFormat="1" x14ac:dyDescent="0.2">
      <c r="A67" s="158" t="s">
        <v>1</v>
      </c>
      <c r="B67" s="159" t="s">
        <v>2</v>
      </c>
      <c r="C67" s="158"/>
      <c r="D67" s="162" t="s">
        <v>116</v>
      </c>
      <c r="E67" s="159" t="s">
        <v>4</v>
      </c>
      <c r="F67" s="158"/>
      <c r="G67" s="159" t="s">
        <v>5</v>
      </c>
      <c r="H67" s="212"/>
    </row>
    <row r="68" spans="1:8" s="50" customFormat="1" x14ac:dyDescent="0.2">
      <c r="A68" s="110">
        <v>1710</v>
      </c>
      <c r="B68" s="111" t="s">
        <v>117</v>
      </c>
      <c r="C68" s="114"/>
      <c r="D68" s="112" t="s">
        <v>144</v>
      </c>
      <c r="E68" s="114">
        <v>1</v>
      </c>
      <c r="F68" s="110"/>
      <c r="G68" s="113">
        <v>53.8</v>
      </c>
      <c r="H68" s="212"/>
    </row>
    <row r="69" spans="1:8" s="50" customFormat="1" x14ac:dyDescent="0.2">
      <c r="A69" s="110"/>
      <c r="B69" s="111"/>
      <c r="C69" s="114"/>
      <c r="D69" s="112"/>
      <c r="E69" s="114">
        <v>100</v>
      </c>
      <c r="F69" s="115" t="s">
        <v>23</v>
      </c>
      <c r="G69" s="113">
        <v>51.1</v>
      </c>
      <c r="H69" s="212"/>
    </row>
    <row r="70" spans="1:8" s="50" customFormat="1" x14ac:dyDescent="0.2">
      <c r="A70" s="122">
        <v>1712</v>
      </c>
      <c r="B70" s="123" t="s">
        <v>117</v>
      </c>
      <c r="C70" s="124"/>
      <c r="D70" s="138" t="s">
        <v>145</v>
      </c>
      <c r="E70" s="124">
        <v>1</v>
      </c>
      <c r="F70" s="122"/>
      <c r="G70" s="132">
        <v>60.3</v>
      </c>
      <c r="H70" s="212"/>
    </row>
    <row r="71" spans="1:8" s="50" customFormat="1" x14ac:dyDescent="0.2">
      <c r="A71" s="122"/>
      <c r="B71" s="123"/>
      <c r="C71" s="124"/>
      <c r="D71" s="138"/>
      <c r="E71" s="124">
        <v>100</v>
      </c>
      <c r="F71" s="139" t="s">
        <v>23</v>
      </c>
      <c r="G71" s="132">
        <v>57.3</v>
      </c>
      <c r="H71" s="212"/>
    </row>
    <row r="72" spans="1:8" s="50" customFormat="1" x14ac:dyDescent="0.2">
      <c r="A72" s="110">
        <v>1713</v>
      </c>
      <c r="B72" s="111" t="s">
        <v>117</v>
      </c>
      <c r="C72" s="114"/>
      <c r="D72" s="114" t="s">
        <v>146</v>
      </c>
      <c r="E72" s="114">
        <v>1</v>
      </c>
      <c r="F72" s="114"/>
      <c r="G72" s="113">
        <v>53.7</v>
      </c>
      <c r="H72" s="212"/>
    </row>
    <row r="73" spans="1:8" s="50" customFormat="1" x14ac:dyDescent="0.2">
      <c r="A73" s="110"/>
      <c r="B73" s="111"/>
      <c r="C73" s="114"/>
      <c r="D73" s="114"/>
      <c r="E73" s="114">
        <v>100</v>
      </c>
      <c r="F73" s="115" t="s">
        <v>23</v>
      </c>
      <c r="G73" s="113">
        <v>51</v>
      </c>
      <c r="H73" s="212"/>
    </row>
    <row r="74" spans="1:8" s="50" customFormat="1" x14ac:dyDescent="0.2">
      <c r="A74" s="122">
        <v>1711</v>
      </c>
      <c r="B74" s="123" t="s">
        <v>117</v>
      </c>
      <c r="C74" s="124"/>
      <c r="D74" s="124" t="s">
        <v>147</v>
      </c>
      <c r="E74" s="124">
        <v>1</v>
      </c>
      <c r="F74" s="124"/>
      <c r="G74" s="132">
        <v>51.6</v>
      </c>
      <c r="H74" s="212"/>
    </row>
    <row r="75" spans="1:8" s="50" customFormat="1" x14ac:dyDescent="0.2">
      <c r="A75" s="122"/>
      <c r="B75" s="123"/>
      <c r="C75" s="124"/>
      <c r="D75" s="124"/>
      <c r="E75" s="124">
        <v>100</v>
      </c>
      <c r="F75" s="139" t="s">
        <v>23</v>
      </c>
      <c r="G75" s="132">
        <v>49.1</v>
      </c>
      <c r="H75" s="212"/>
    </row>
    <row r="76" spans="1:8" x14ac:dyDescent="0.2">
      <c r="A76" s="110">
        <v>1714</v>
      </c>
      <c r="B76" s="111" t="s">
        <v>117</v>
      </c>
      <c r="C76" s="114"/>
      <c r="D76" s="112" t="s">
        <v>148</v>
      </c>
      <c r="E76" s="114">
        <v>1</v>
      </c>
      <c r="F76" s="110"/>
      <c r="G76" s="113">
        <v>51.6</v>
      </c>
    </row>
    <row r="77" spans="1:8" x14ac:dyDescent="0.2">
      <c r="A77" s="110"/>
      <c r="B77" s="111"/>
      <c r="C77" s="114"/>
      <c r="D77" s="112"/>
      <c r="E77" s="114">
        <v>100</v>
      </c>
      <c r="F77" s="115" t="s">
        <v>23</v>
      </c>
      <c r="G77" s="113">
        <v>49.1</v>
      </c>
    </row>
    <row r="78" spans="1:8" s="149" customFormat="1" x14ac:dyDescent="0.2">
      <c r="A78" s="1"/>
      <c r="B78" s="1"/>
      <c r="C78" s="1"/>
      <c r="D78" s="58"/>
      <c r="E78" s="58"/>
      <c r="F78" s="1"/>
      <c r="G78" s="1"/>
      <c r="H78" s="213"/>
    </row>
    <row r="79" spans="1:8" ht="15" x14ac:dyDescent="0.2">
      <c r="A79" s="156" t="s">
        <v>149</v>
      </c>
      <c r="B79" s="154"/>
      <c r="C79" s="154"/>
      <c r="D79" s="157"/>
      <c r="E79" s="157"/>
      <c r="F79" s="156"/>
      <c r="G79" s="154"/>
    </row>
    <row r="80" spans="1:8" x14ac:dyDescent="0.2">
      <c r="A80" s="158" t="s">
        <v>1</v>
      </c>
      <c r="B80" s="159" t="s">
        <v>2</v>
      </c>
      <c r="C80" s="158"/>
      <c r="D80" s="162" t="s">
        <v>116</v>
      </c>
      <c r="E80" s="159" t="s">
        <v>4</v>
      </c>
      <c r="F80" s="158"/>
      <c r="G80" s="159" t="s">
        <v>5</v>
      </c>
    </row>
    <row r="81" spans="1:7" x14ac:dyDescent="0.2">
      <c r="A81" s="110">
        <v>1722</v>
      </c>
      <c r="B81" s="111" t="s">
        <v>150</v>
      </c>
      <c r="C81" s="114"/>
      <c r="D81" s="112" t="s">
        <v>144</v>
      </c>
      <c r="E81" s="114">
        <v>1</v>
      </c>
      <c r="F81" s="110"/>
      <c r="G81" s="113">
        <v>70</v>
      </c>
    </row>
    <row r="82" spans="1:7" x14ac:dyDescent="0.2">
      <c r="A82" s="110"/>
      <c r="B82" s="111"/>
      <c r="C82" s="114"/>
      <c r="D82" s="112"/>
      <c r="E82" s="114">
        <v>100</v>
      </c>
      <c r="F82" s="115" t="s">
        <v>23</v>
      </c>
      <c r="G82" s="113">
        <v>66.5</v>
      </c>
    </row>
    <row r="83" spans="1:7" x14ac:dyDescent="0.2">
      <c r="A83" s="122">
        <v>1723</v>
      </c>
      <c r="B83" s="123" t="s">
        <v>150</v>
      </c>
      <c r="C83" s="124"/>
      <c r="D83" s="138" t="s">
        <v>145</v>
      </c>
      <c r="E83" s="124">
        <v>1</v>
      </c>
      <c r="F83" s="122"/>
      <c r="G83" s="132">
        <v>79</v>
      </c>
    </row>
    <row r="84" spans="1:7" x14ac:dyDescent="0.2">
      <c r="A84" s="122"/>
      <c r="B84" s="123"/>
      <c r="C84" s="124"/>
      <c r="D84" s="138"/>
      <c r="E84" s="124">
        <v>100</v>
      </c>
      <c r="F84" s="139" t="s">
        <v>23</v>
      </c>
      <c r="G84" s="132">
        <v>75.099999999999994</v>
      </c>
    </row>
    <row r="85" spans="1:7" x14ac:dyDescent="0.2">
      <c r="A85" s="110">
        <v>1724</v>
      </c>
      <c r="B85" s="111" t="s">
        <v>150</v>
      </c>
      <c r="C85" s="114"/>
      <c r="D85" s="112" t="s">
        <v>151</v>
      </c>
      <c r="E85" s="114">
        <v>1</v>
      </c>
      <c r="F85" s="110"/>
      <c r="G85" s="113">
        <v>64.400000000000006</v>
      </c>
    </row>
    <row r="86" spans="1:7" x14ac:dyDescent="0.2">
      <c r="A86" s="110"/>
      <c r="B86" s="111"/>
      <c r="C86" s="114"/>
      <c r="D86" s="112"/>
      <c r="E86" s="114">
        <v>100</v>
      </c>
      <c r="F86" s="115" t="s">
        <v>23</v>
      </c>
      <c r="G86" s="113">
        <v>61.2</v>
      </c>
    </row>
    <row r="87" spans="1:7" x14ac:dyDescent="0.2">
      <c r="A87" s="122">
        <v>1725</v>
      </c>
      <c r="B87" s="123" t="s">
        <v>150</v>
      </c>
      <c r="C87" s="124"/>
      <c r="D87" s="138" t="s">
        <v>152</v>
      </c>
      <c r="E87" s="124">
        <v>1</v>
      </c>
      <c r="F87" s="122"/>
      <c r="G87" s="132">
        <v>83.9</v>
      </c>
    </row>
    <row r="88" spans="1:7" x14ac:dyDescent="0.2">
      <c r="A88" s="122"/>
      <c r="B88" s="123"/>
      <c r="C88" s="124"/>
      <c r="D88" s="138"/>
      <c r="E88" s="124">
        <v>100</v>
      </c>
      <c r="F88" s="139" t="s">
        <v>23</v>
      </c>
      <c r="G88" s="132">
        <v>79.7</v>
      </c>
    </row>
    <row r="89" spans="1:7" x14ac:dyDescent="0.2">
      <c r="A89" s="110">
        <v>1721</v>
      </c>
      <c r="B89" s="111" t="s">
        <v>150</v>
      </c>
      <c r="C89" s="114"/>
      <c r="D89" s="114" t="s">
        <v>146</v>
      </c>
      <c r="E89" s="114">
        <v>1</v>
      </c>
      <c r="F89" s="114"/>
      <c r="G89" s="113">
        <v>65.599999999999994</v>
      </c>
    </row>
    <row r="90" spans="1:7" x14ac:dyDescent="0.2">
      <c r="A90" s="110"/>
      <c r="B90" s="111"/>
      <c r="C90" s="114"/>
      <c r="D90" s="114"/>
      <c r="E90" s="114">
        <v>100</v>
      </c>
      <c r="F90" s="115" t="s">
        <v>23</v>
      </c>
      <c r="G90" s="113">
        <v>62.4</v>
      </c>
    </row>
    <row r="91" spans="1:7" x14ac:dyDescent="0.2">
      <c r="A91" s="122">
        <v>1726</v>
      </c>
      <c r="B91" s="123" t="s">
        <v>150</v>
      </c>
      <c r="C91" s="124"/>
      <c r="D91" s="124" t="s">
        <v>153</v>
      </c>
      <c r="E91" s="124">
        <v>1</v>
      </c>
      <c r="F91" s="124"/>
      <c r="G91" s="132">
        <v>64.7</v>
      </c>
    </row>
    <row r="92" spans="1:7" x14ac:dyDescent="0.2">
      <c r="A92" s="122"/>
      <c r="B92" s="123"/>
      <c r="C92" s="124"/>
      <c r="D92" s="124"/>
      <c r="E92" s="124">
        <v>100</v>
      </c>
      <c r="F92" s="139" t="s">
        <v>23</v>
      </c>
      <c r="G92" s="132">
        <v>61.4</v>
      </c>
    </row>
    <row r="93" spans="1:7" x14ac:dyDescent="0.2">
      <c r="A93" s="110">
        <v>1720</v>
      </c>
      <c r="B93" s="111" t="s">
        <v>150</v>
      </c>
      <c r="C93" s="114"/>
      <c r="D93" s="112" t="s">
        <v>147</v>
      </c>
      <c r="E93" s="114">
        <v>1</v>
      </c>
      <c r="F93" s="110"/>
      <c r="G93" s="113">
        <v>61.6</v>
      </c>
    </row>
    <row r="94" spans="1:7" x14ac:dyDescent="0.2">
      <c r="A94" s="110"/>
      <c r="B94" s="111"/>
      <c r="C94" s="114"/>
      <c r="D94" s="112"/>
      <c r="E94" s="114">
        <v>100</v>
      </c>
      <c r="F94" s="115" t="s">
        <v>23</v>
      </c>
      <c r="G94" s="113">
        <v>58.5</v>
      </c>
    </row>
    <row r="95" spans="1:7" x14ac:dyDescent="0.2">
      <c r="A95" s="122">
        <v>1727</v>
      </c>
      <c r="B95" s="123" t="s">
        <v>150</v>
      </c>
      <c r="C95" s="124"/>
      <c r="D95" s="138" t="s">
        <v>148</v>
      </c>
      <c r="E95" s="124">
        <v>1</v>
      </c>
      <c r="F95" s="122"/>
      <c r="G95" s="132">
        <v>61.6</v>
      </c>
    </row>
    <row r="96" spans="1:7" x14ac:dyDescent="0.2">
      <c r="A96" s="122"/>
      <c r="B96" s="123"/>
      <c r="C96" s="124"/>
      <c r="D96" s="138"/>
      <c r="E96" s="124">
        <v>100</v>
      </c>
      <c r="F96" s="139" t="s">
        <v>23</v>
      </c>
      <c r="G96" s="132">
        <v>58.5</v>
      </c>
    </row>
    <row r="98" spans="1:7" ht="15" x14ac:dyDescent="0.2">
      <c r="A98" s="156" t="s">
        <v>154</v>
      </c>
      <c r="B98" s="154"/>
      <c r="C98" s="154"/>
      <c r="D98" s="157"/>
      <c r="E98" s="157"/>
      <c r="F98" s="156"/>
      <c r="G98" s="154"/>
    </row>
    <row r="99" spans="1:7" x14ac:dyDescent="0.2">
      <c r="A99" s="158" t="s">
        <v>1</v>
      </c>
      <c r="B99" s="159" t="s">
        <v>2</v>
      </c>
      <c r="C99" s="158"/>
      <c r="D99" s="162" t="s">
        <v>116</v>
      </c>
      <c r="E99" s="159" t="s">
        <v>4</v>
      </c>
      <c r="F99" s="158"/>
      <c r="G99" s="159" t="s">
        <v>5</v>
      </c>
    </row>
    <row r="100" spans="1:7" x14ac:dyDescent="0.2">
      <c r="A100" s="110">
        <v>1742</v>
      </c>
      <c r="B100" s="111" t="s">
        <v>155</v>
      </c>
      <c r="C100" s="114"/>
      <c r="D100" s="112" t="s">
        <v>144</v>
      </c>
      <c r="E100" s="114">
        <v>1</v>
      </c>
      <c r="F100" s="110"/>
      <c r="G100" s="113">
        <v>99.5</v>
      </c>
    </row>
    <row r="101" spans="1:7" x14ac:dyDescent="0.2">
      <c r="A101" s="110"/>
      <c r="B101" s="111"/>
      <c r="C101" s="114"/>
      <c r="D101" s="112"/>
      <c r="E101" s="114">
        <v>100</v>
      </c>
      <c r="F101" s="115" t="s">
        <v>23</v>
      </c>
      <c r="G101" s="113">
        <v>94.6</v>
      </c>
    </row>
    <row r="102" spans="1:7" x14ac:dyDescent="0.2">
      <c r="A102" s="122">
        <v>1741</v>
      </c>
      <c r="B102" s="123" t="s">
        <v>155</v>
      </c>
      <c r="C102" s="124"/>
      <c r="D102" s="124" t="s">
        <v>146</v>
      </c>
      <c r="E102" s="124">
        <v>1</v>
      </c>
      <c r="F102" s="124"/>
      <c r="G102" s="132">
        <v>87.3</v>
      </c>
    </row>
    <row r="103" spans="1:7" x14ac:dyDescent="0.2">
      <c r="A103" s="122"/>
      <c r="B103" s="123"/>
      <c r="C103" s="124"/>
      <c r="D103" s="124"/>
      <c r="E103" s="124">
        <v>100</v>
      </c>
      <c r="F103" s="139" t="s">
        <v>23</v>
      </c>
      <c r="G103" s="132">
        <v>82.9</v>
      </c>
    </row>
    <row r="104" spans="1:7" x14ac:dyDescent="0.2">
      <c r="A104" s="110">
        <v>1743</v>
      </c>
      <c r="B104" s="111" t="s">
        <v>155</v>
      </c>
      <c r="C104" s="114"/>
      <c r="D104" s="112" t="s">
        <v>147</v>
      </c>
      <c r="E104" s="114">
        <v>1</v>
      </c>
      <c r="F104" s="110"/>
      <c r="G104" s="113">
        <v>79.2</v>
      </c>
    </row>
    <row r="105" spans="1:7" x14ac:dyDescent="0.2">
      <c r="A105" s="110"/>
      <c r="B105" s="111"/>
      <c r="C105" s="114"/>
      <c r="D105" s="112"/>
      <c r="E105" s="114">
        <v>100</v>
      </c>
      <c r="F105" s="115" t="s">
        <v>23</v>
      </c>
      <c r="G105" s="113">
        <v>75.2</v>
      </c>
    </row>
    <row r="106" spans="1:7" x14ac:dyDescent="0.2">
      <c r="A106" s="122">
        <v>1744</v>
      </c>
      <c r="B106" s="123" t="s">
        <v>155</v>
      </c>
      <c r="C106" s="124"/>
      <c r="D106" s="138" t="s">
        <v>148</v>
      </c>
      <c r="E106" s="124">
        <v>1</v>
      </c>
      <c r="F106" s="124"/>
      <c r="G106" s="132">
        <v>79.2</v>
      </c>
    </row>
    <row r="107" spans="1:7" x14ac:dyDescent="0.2">
      <c r="A107" s="122"/>
      <c r="B107" s="123"/>
      <c r="C107" s="124"/>
      <c r="D107" s="138"/>
      <c r="E107" s="124">
        <v>100</v>
      </c>
      <c r="F107" s="139" t="s">
        <v>23</v>
      </c>
      <c r="G107" s="132">
        <v>75.2</v>
      </c>
    </row>
    <row r="109" spans="1:7" ht="15" x14ac:dyDescent="0.2">
      <c r="A109" s="156" t="s">
        <v>156</v>
      </c>
      <c r="B109" s="154"/>
      <c r="C109" s="154"/>
      <c r="D109" s="157"/>
      <c r="E109" s="157"/>
      <c r="F109" s="156"/>
      <c r="G109" s="154"/>
    </row>
    <row r="110" spans="1:7" x14ac:dyDescent="0.2">
      <c r="A110" s="158" t="s">
        <v>1</v>
      </c>
      <c r="B110" s="159" t="s">
        <v>2</v>
      </c>
      <c r="C110" s="158"/>
      <c r="D110" s="162" t="s">
        <v>116</v>
      </c>
      <c r="E110" s="159" t="s">
        <v>4</v>
      </c>
      <c r="F110" s="158"/>
      <c r="G110" s="159" t="s">
        <v>5</v>
      </c>
    </row>
    <row r="111" spans="1:7" x14ac:dyDescent="0.2">
      <c r="A111" s="110">
        <v>1731</v>
      </c>
      <c r="B111" s="111" t="s">
        <v>150</v>
      </c>
      <c r="C111" s="114"/>
      <c r="D111" s="112" t="s">
        <v>157</v>
      </c>
      <c r="E111" s="114">
        <v>1</v>
      </c>
      <c r="F111" s="110"/>
      <c r="G111" s="113">
        <v>63.4</v>
      </c>
    </row>
    <row r="112" spans="1:7" x14ac:dyDescent="0.2">
      <c r="A112" s="110"/>
      <c r="B112" s="111"/>
      <c r="C112" s="114"/>
      <c r="D112" s="112"/>
      <c r="E112" s="114">
        <v>100</v>
      </c>
      <c r="F112" s="115" t="s">
        <v>23</v>
      </c>
      <c r="G112" s="113">
        <v>60.3</v>
      </c>
    </row>
    <row r="113" spans="1:7" x14ac:dyDescent="0.2">
      <c r="A113" s="122">
        <v>1732</v>
      </c>
      <c r="B113" s="123" t="s">
        <v>150</v>
      </c>
      <c r="C113" s="124"/>
      <c r="D113" s="138" t="s">
        <v>158</v>
      </c>
      <c r="E113" s="124">
        <v>1</v>
      </c>
      <c r="F113" s="122"/>
      <c r="G113" s="132">
        <v>63.4</v>
      </c>
    </row>
    <row r="114" spans="1:7" x14ac:dyDescent="0.2">
      <c r="A114" s="122"/>
      <c r="B114" s="123"/>
      <c r="C114" s="124"/>
      <c r="D114" s="138"/>
      <c r="E114" s="124">
        <v>100</v>
      </c>
      <c r="F114" s="139" t="s">
        <v>23</v>
      </c>
      <c r="G114" s="132">
        <v>60.3</v>
      </c>
    </row>
    <row r="115" spans="1:7" x14ac:dyDescent="0.2">
      <c r="A115" s="110">
        <v>1733</v>
      </c>
      <c r="B115" s="111" t="s">
        <v>150</v>
      </c>
      <c r="C115" s="114"/>
      <c r="D115" s="112" t="s">
        <v>159</v>
      </c>
      <c r="E115" s="114">
        <v>1</v>
      </c>
      <c r="F115" s="110"/>
      <c r="G115" s="113">
        <v>76.3</v>
      </c>
    </row>
    <row r="116" spans="1:7" x14ac:dyDescent="0.2">
      <c r="A116" s="110"/>
      <c r="B116" s="111"/>
      <c r="C116" s="114"/>
      <c r="D116" s="112"/>
      <c r="E116" s="114">
        <v>100</v>
      </c>
      <c r="F116" s="115" t="s">
        <v>23</v>
      </c>
      <c r="G116" s="113">
        <v>72.400000000000006</v>
      </c>
    </row>
    <row r="117" spans="1:7" x14ac:dyDescent="0.2">
      <c r="A117" s="122">
        <v>1730</v>
      </c>
      <c r="B117" s="123" t="s">
        <v>150</v>
      </c>
      <c r="C117" s="124"/>
      <c r="D117" s="138" t="s">
        <v>160</v>
      </c>
      <c r="E117" s="124">
        <v>1</v>
      </c>
      <c r="F117" s="122"/>
      <c r="G117" s="132">
        <v>64.099999999999994</v>
      </c>
    </row>
    <row r="118" spans="1:7" x14ac:dyDescent="0.2">
      <c r="A118" s="122"/>
      <c r="B118" s="123"/>
      <c r="C118" s="124"/>
      <c r="D118" s="138"/>
      <c r="E118" s="124">
        <v>100</v>
      </c>
      <c r="F118" s="139" t="s">
        <v>23</v>
      </c>
      <c r="G118" s="132">
        <v>60.9</v>
      </c>
    </row>
    <row r="120" spans="1:7" ht="15" x14ac:dyDescent="0.2">
      <c r="A120" s="145" t="s">
        <v>161</v>
      </c>
      <c r="B120" s="57"/>
      <c r="C120" s="57"/>
      <c r="D120" s="59"/>
      <c r="E120" s="59"/>
      <c r="F120" s="145"/>
      <c r="G120" s="57"/>
    </row>
    <row r="121" spans="1:7" x14ac:dyDescent="0.2">
      <c r="A121" s="12" t="s">
        <v>1</v>
      </c>
      <c r="B121" s="11"/>
      <c r="C121" s="12"/>
      <c r="D121" s="12" t="s">
        <v>116</v>
      </c>
      <c r="E121" s="12"/>
      <c r="F121" s="12"/>
      <c r="G121" s="11" t="s">
        <v>5</v>
      </c>
    </row>
    <row r="122" spans="1:7" x14ac:dyDescent="0.2">
      <c r="A122" s="110">
        <v>1412</v>
      </c>
      <c r="B122" s="111"/>
      <c r="C122" s="111"/>
      <c r="D122" s="112" t="s">
        <v>162</v>
      </c>
      <c r="E122" s="112"/>
      <c r="F122" s="111"/>
      <c r="G122" s="113">
        <v>22.4</v>
      </c>
    </row>
    <row r="123" spans="1:7" x14ac:dyDescent="0.2">
      <c r="A123" s="122">
        <v>1467</v>
      </c>
      <c r="B123" s="123"/>
      <c r="C123" s="123"/>
      <c r="D123" s="138" t="s">
        <v>163</v>
      </c>
      <c r="E123" s="138"/>
      <c r="F123" s="124"/>
      <c r="G123" s="132">
        <v>38.799999999999997</v>
      </c>
    </row>
    <row r="124" spans="1:7" x14ac:dyDescent="0.2">
      <c r="A124" s="110">
        <v>1413</v>
      </c>
      <c r="B124" s="111"/>
      <c r="C124" s="111"/>
      <c r="D124" s="112" t="s">
        <v>164</v>
      </c>
      <c r="E124" s="112"/>
      <c r="F124" s="114"/>
      <c r="G124" s="113">
        <v>41.8</v>
      </c>
    </row>
    <row r="125" spans="1:7" x14ac:dyDescent="0.2">
      <c r="A125" s="129">
        <v>1414</v>
      </c>
      <c r="B125" s="130"/>
      <c r="C125" s="130"/>
      <c r="D125" s="138" t="s">
        <v>165</v>
      </c>
      <c r="E125" s="138"/>
      <c r="F125" s="128" t="s">
        <v>23</v>
      </c>
      <c r="G125" s="132">
        <v>41.8</v>
      </c>
    </row>
    <row r="126" spans="1:7" x14ac:dyDescent="0.2">
      <c r="A126" s="110">
        <v>1415</v>
      </c>
      <c r="B126" s="111"/>
      <c r="C126" s="111"/>
      <c r="D126" s="112" t="s">
        <v>166</v>
      </c>
      <c r="E126" s="112"/>
      <c r="F126" s="115"/>
      <c r="G126" s="113">
        <v>31.1</v>
      </c>
    </row>
    <row r="127" spans="1:7" x14ac:dyDescent="0.2">
      <c r="A127" s="122">
        <v>1416</v>
      </c>
      <c r="B127" s="123"/>
      <c r="C127" s="123"/>
      <c r="D127" s="190" t="s">
        <v>167</v>
      </c>
      <c r="E127" s="138"/>
      <c r="F127" s="124"/>
      <c r="G127" s="132">
        <v>62.4</v>
      </c>
    </row>
    <row r="128" spans="1:7" x14ac:dyDescent="0.2">
      <c r="A128" s="110">
        <v>1417</v>
      </c>
      <c r="B128" s="111"/>
      <c r="C128" s="111"/>
      <c r="D128" s="191" t="s">
        <v>168</v>
      </c>
      <c r="E128" s="112"/>
      <c r="F128" s="115" t="s">
        <v>23</v>
      </c>
      <c r="G128" s="113">
        <v>75.8</v>
      </c>
    </row>
    <row r="129" spans="1:8" x14ac:dyDescent="0.2">
      <c r="A129" s="122">
        <v>1418</v>
      </c>
      <c r="B129" s="123"/>
      <c r="C129" s="123"/>
      <c r="D129" s="190" t="s">
        <v>169</v>
      </c>
      <c r="E129" s="138"/>
      <c r="F129" s="124"/>
      <c r="G129" s="132">
        <v>89</v>
      </c>
    </row>
    <row r="130" spans="1:8" x14ac:dyDescent="0.2">
      <c r="A130" s="110">
        <v>1475</v>
      </c>
      <c r="B130" s="111"/>
      <c r="C130" s="111"/>
      <c r="D130" s="112" t="s">
        <v>170</v>
      </c>
      <c r="E130" s="112"/>
      <c r="F130" s="115"/>
      <c r="G130" s="113">
        <v>1.5</v>
      </c>
    </row>
    <row r="131" spans="1:8" x14ac:dyDescent="0.2">
      <c r="A131" s="50"/>
      <c r="B131" s="50"/>
      <c r="C131" s="50"/>
      <c r="D131" s="50"/>
      <c r="E131" s="50"/>
      <c r="F131" s="50"/>
      <c r="G131" s="50"/>
    </row>
    <row r="132" spans="1:8" ht="15" x14ac:dyDescent="0.2">
      <c r="A132" s="145" t="s">
        <v>171</v>
      </c>
      <c r="B132" s="57"/>
      <c r="C132" s="57"/>
      <c r="D132" s="59"/>
      <c r="E132" s="59"/>
      <c r="F132" s="145"/>
      <c r="G132" s="57"/>
    </row>
    <row r="133" spans="1:8" x14ac:dyDescent="0.2">
      <c r="A133" s="12" t="s">
        <v>1</v>
      </c>
      <c r="B133" s="11" t="s">
        <v>2</v>
      </c>
      <c r="C133" s="12"/>
      <c r="D133" s="12" t="s">
        <v>116</v>
      </c>
      <c r="E133" s="11" t="s">
        <v>4</v>
      </c>
      <c r="F133" s="12"/>
      <c r="G133" s="11" t="s">
        <v>5</v>
      </c>
    </row>
    <row r="134" spans="1:8" x14ac:dyDescent="0.2">
      <c r="A134" s="110">
        <v>1411</v>
      </c>
      <c r="B134" s="111" t="s">
        <v>14</v>
      </c>
      <c r="C134" s="111"/>
      <c r="D134" s="112" t="s">
        <v>171</v>
      </c>
      <c r="E134" s="111">
        <v>1</v>
      </c>
      <c r="F134" s="110"/>
      <c r="G134" s="113">
        <v>416.8</v>
      </c>
    </row>
    <row r="135" spans="1:8" s="50" customFormat="1" x14ac:dyDescent="0.2">
      <c r="A135" s="110"/>
      <c r="B135" s="111"/>
      <c r="C135" s="111"/>
      <c r="D135" s="112"/>
      <c r="E135" s="111">
        <v>10</v>
      </c>
      <c r="F135" s="110"/>
      <c r="G135" s="113">
        <v>395.9</v>
      </c>
      <c r="H135" s="212"/>
    </row>
    <row r="136" spans="1:8" s="50" customFormat="1" x14ac:dyDescent="0.2">
      <c r="A136" s="110"/>
      <c r="B136" s="111"/>
      <c r="C136" s="111"/>
      <c r="D136" s="112"/>
      <c r="E136" s="111">
        <v>20</v>
      </c>
      <c r="F136" s="110"/>
      <c r="G136" s="113">
        <v>375.1</v>
      </c>
      <c r="H136" s="212"/>
    </row>
    <row r="137" spans="1:8" s="50" customFormat="1" x14ac:dyDescent="0.2">
      <c r="A137" s="110"/>
      <c r="B137" s="111"/>
      <c r="C137" s="111"/>
      <c r="D137" s="112"/>
      <c r="E137" s="111">
        <v>30</v>
      </c>
      <c r="F137" s="110"/>
      <c r="G137" s="113">
        <v>354.3</v>
      </c>
      <c r="H137" s="212"/>
    </row>
    <row r="138" spans="1:8" s="50" customFormat="1" x14ac:dyDescent="0.2">
      <c r="A138" s="60"/>
      <c r="B138" s="60"/>
      <c r="C138" s="60"/>
      <c r="D138" s="60"/>
      <c r="E138" s="60"/>
      <c r="F138" s="60"/>
      <c r="G138" s="8"/>
      <c r="H138" s="212"/>
    </row>
    <row r="139" spans="1:8" s="50" customFormat="1" ht="15" x14ac:dyDescent="0.2">
      <c r="A139" s="145" t="s">
        <v>172</v>
      </c>
      <c r="B139" s="57"/>
      <c r="C139" s="57"/>
      <c r="D139" s="59"/>
      <c r="E139" s="59"/>
      <c r="F139" s="145"/>
      <c r="G139" s="57"/>
      <c r="H139" s="212"/>
    </row>
    <row r="140" spans="1:8" s="50" customFormat="1" x14ac:dyDescent="0.2">
      <c r="A140" s="12" t="s">
        <v>1</v>
      </c>
      <c r="B140" s="11" t="s">
        <v>2</v>
      </c>
      <c r="C140" s="12"/>
      <c r="D140" s="12" t="s">
        <v>116</v>
      </c>
      <c r="E140" s="11" t="s">
        <v>4</v>
      </c>
      <c r="F140" s="12"/>
      <c r="G140" s="11" t="s">
        <v>5</v>
      </c>
      <c r="H140" s="212"/>
    </row>
    <row r="141" spans="1:8" s="50" customFormat="1" x14ac:dyDescent="0.2">
      <c r="A141" s="110">
        <v>1437</v>
      </c>
      <c r="B141" s="111" t="s">
        <v>14</v>
      </c>
      <c r="C141" s="111"/>
      <c r="D141" s="112" t="s">
        <v>173</v>
      </c>
      <c r="E141" s="111">
        <v>1</v>
      </c>
      <c r="F141" s="115" t="s">
        <v>23</v>
      </c>
      <c r="G141" s="113">
        <v>492.9</v>
      </c>
      <c r="H141" s="212"/>
    </row>
    <row r="142" spans="1:8" s="50" customFormat="1" ht="12.75" customHeight="1" x14ac:dyDescent="0.2">
      <c r="A142" s="110"/>
      <c r="B142" s="111"/>
      <c r="C142" s="111"/>
      <c r="D142" s="112"/>
      <c r="E142" s="111">
        <v>10</v>
      </c>
      <c r="F142" s="115"/>
      <c r="G142" s="113">
        <v>468.3</v>
      </c>
      <c r="H142" s="212"/>
    </row>
    <row r="143" spans="1:8" s="50" customFormat="1" x14ac:dyDescent="0.2">
      <c r="A143" s="110"/>
      <c r="B143" s="111"/>
      <c r="C143" s="111"/>
      <c r="D143" s="112"/>
      <c r="E143" s="111">
        <v>20</v>
      </c>
      <c r="F143" s="115"/>
      <c r="G143" s="113">
        <v>443.7</v>
      </c>
      <c r="H143" s="212"/>
    </row>
    <row r="144" spans="1:8" s="50" customFormat="1" x14ac:dyDescent="0.2">
      <c r="A144" s="110"/>
      <c r="B144" s="111"/>
      <c r="C144" s="111"/>
      <c r="D144" s="112"/>
      <c r="E144" s="111">
        <v>30</v>
      </c>
      <c r="F144" s="115"/>
      <c r="G144" s="113">
        <v>419</v>
      </c>
      <c r="H144" s="212"/>
    </row>
    <row r="145" spans="1:8" s="50" customFormat="1" x14ac:dyDescent="0.2">
      <c r="A145" s="122">
        <v>1449</v>
      </c>
      <c r="B145" s="123" t="s">
        <v>14</v>
      </c>
      <c r="C145" s="123"/>
      <c r="D145" s="138" t="s">
        <v>174</v>
      </c>
      <c r="E145" s="123">
        <v>1</v>
      </c>
      <c r="F145" s="128" t="s">
        <v>23</v>
      </c>
      <c r="G145" s="132">
        <v>467.5</v>
      </c>
      <c r="H145" s="212"/>
    </row>
    <row r="146" spans="1:8" s="50" customFormat="1" x14ac:dyDescent="0.2">
      <c r="A146" s="122"/>
      <c r="B146" s="123"/>
      <c r="C146" s="123"/>
      <c r="D146" s="138"/>
      <c r="E146" s="123">
        <v>10</v>
      </c>
      <c r="F146" s="128"/>
      <c r="G146" s="132">
        <v>444.1</v>
      </c>
      <c r="H146" s="212"/>
    </row>
    <row r="147" spans="1:8" s="50" customFormat="1" x14ac:dyDescent="0.2">
      <c r="A147" s="122"/>
      <c r="B147" s="123"/>
      <c r="C147" s="123"/>
      <c r="D147" s="138"/>
      <c r="E147" s="123">
        <v>20</v>
      </c>
      <c r="F147" s="128"/>
      <c r="G147" s="132">
        <v>420.7</v>
      </c>
      <c r="H147" s="212"/>
    </row>
    <row r="148" spans="1:8" s="50" customFormat="1" x14ac:dyDescent="0.2">
      <c r="A148" s="122"/>
      <c r="B148" s="123"/>
      <c r="C148" s="123"/>
      <c r="D148" s="138"/>
      <c r="E148" s="123">
        <v>30</v>
      </c>
      <c r="F148" s="128"/>
      <c r="G148" s="132">
        <v>397.3</v>
      </c>
      <c r="H148" s="212"/>
    </row>
    <row r="149" spans="1:8" s="50" customFormat="1" ht="22.5" x14ac:dyDescent="0.2">
      <c r="A149" s="226"/>
      <c r="B149" s="226"/>
      <c r="C149" s="226"/>
      <c r="D149" s="226"/>
      <c r="E149" s="226"/>
      <c r="F149" s="226"/>
      <c r="G149" s="226"/>
      <c r="H149" s="212"/>
    </row>
    <row r="150" spans="1:8" s="50" customFormat="1" ht="15" x14ac:dyDescent="0.2">
      <c r="A150" s="145" t="s">
        <v>175</v>
      </c>
      <c r="B150" s="57"/>
      <c r="C150" s="57"/>
      <c r="D150" s="59"/>
      <c r="E150" s="59"/>
      <c r="F150" s="145"/>
      <c r="G150" s="57"/>
      <c r="H150" s="212"/>
    </row>
    <row r="151" spans="1:8" s="50" customFormat="1" x14ac:dyDescent="0.2">
      <c r="A151" s="12" t="s">
        <v>1</v>
      </c>
      <c r="B151" s="11"/>
      <c r="C151" s="12"/>
      <c r="D151" s="12" t="s">
        <v>116</v>
      </c>
      <c r="E151" s="12"/>
      <c r="F151" s="12"/>
      <c r="G151" s="11" t="s">
        <v>5</v>
      </c>
      <c r="H151" s="212"/>
    </row>
    <row r="152" spans="1:8" s="50" customFormat="1" x14ac:dyDescent="0.2">
      <c r="A152" s="110">
        <v>1401</v>
      </c>
      <c r="B152" s="111"/>
      <c r="C152" s="111"/>
      <c r="D152" s="112" t="s">
        <v>176</v>
      </c>
      <c r="E152" s="112"/>
      <c r="F152" s="111"/>
      <c r="G152" s="113">
        <v>18.7</v>
      </c>
      <c r="H152" s="212"/>
    </row>
    <row r="153" spans="1:8" s="50" customFormat="1" x14ac:dyDescent="0.2">
      <c r="A153" s="122">
        <v>1438</v>
      </c>
      <c r="B153" s="123"/>
      <c r="C153" s="123"/>
      <c r="D153" s="138" t="s">
        <v>177</v>
      </c>
      <c r="E153" s="138"/>
      <c r="F153" s="128" t="s">
        <v>23</v>
      </c>
      <c r="G153" s="132">
        <v>40.9</v>
      </c>
      <c r="H153" s="212"/>
    </row>
    <row r="154" spans="1:8" s="50" customFormat="1" x14ac:dyDescent="0.2">
      <c r="A154" s="110">
        <v>1430</v>
      </c>
      <c r="B154" s="111"/>
      <c r="C154" s="111"/>
      <c r="D154" s="112" t="s">
        <v>178</v>
      </c>
      <c r="E154" s="112"/>
      <c r="F154" s="111"/>
      <c r="G154" s="113">
        <v>33</v>
      </c>
      <c r="H154" s="212"/>
    </row>
    <row r="155" spans="1:8" s="50" customFormat="1" x14ac:dyDescent="0.2">
      <c r="A155" s="122">
        <v>1431</v>
      </c>
      <c r="B155" s="123"/>
      <c r="C155" s="123"/>
      <c r="D155" s="138" t="s">
        <v>179</v>
      </c>
      <c r="E155" s="138"/>
      <c r="F155" s="123"/>
      <c r="G155" s="132">
        <v>1.9</v>
      </c>
      <c r="H155" s="212"/>
    </row>
    <row r="156" spans="1:8" s="50" customFormat="1" x14ac:dyDescent="0.2">
      <c r="A156" s="3"/>
      <c r="B156" s="1"/>
      <c r="C156" s="1"/>
      <c r="D156" s="58"/>
      <c r="E156" s="58"/>
      <c r="F156" s="3"/>
      <c r="G156" s="6"/>
      <c r="H156" s="212"/>
    </row>
    <row r="157" spans="1:8" s="50" customFormat="1" ht="15" x14ac:dyDescent="0.2">
      <c r="A157" s="145" t="s">
        <v>180</v>
      </c>
      <c r="B157" s="57"/>
      <c r="C157" s="57"/>
      <c r="D157" s="59"/>
      <c r="E157" s="59"/>
      <c r="F157" s="145"/>
      <c r="G157" s="57"/>
      <c r="H157" s="212"/>
    </row>
    <row r="158" spans="1:8" s="50" customFormat="1" x14ac:dyDescent="0.2">
      <c r="A158" s="12" t="s">
        <v>1</v>
      </c>
      <c r="B158" s="11"/>
      <c r="C158" s="12"/>
      <c r="D158" s="12" t="s">
        <v>116</v>
      </c>
      <c r="E158" s="12"/>
      <c r="F158" s="12"/>
      <c r="G158" s="11" t="s">
        <v>5</v>
      </c>
      <c r="H158" s="212"/>
    </row>
    <row r="159" spans="1:8" s="50" customFormat="1" x14ac:dyDescent="0.2">
      <c r="A159" s="110">
        <v>1453</v>
      </c>
      <c r="B159" s="111"/>
      <c r="C159" s="111"/>
      <c r="D159" s="112" t="s">
        <v>181</v>
      </c>
      <c r="E159" s="112"/>
      <c r="F159" s="110"/>
      <c r="G159" s="113">
        <v>3.2</v>
      </c>
      <c r="H159" s="212"/>
    </row>
    <row r="160" spans="1:8" s="50" customFormat="1" x14ac:dyDescent="0.2">
      <c r="A160" s="122">
        <v>1480</v>
      </c>
      <c r="B160" s="123"/>
      <c r="C160" s="123"/>
      <c r="D160" s="138" t="s">
        <v>182</v>
      </c>
      <c r="E160" s="138"/>
      <c r="F160" s="122"/>
      <c r="G160" s="132">
        <v>149.80000000000001</v>
      </c>
      <c r="H160" s="212"/>
    </row>
    <row r="161" spans="1:8" s="50" customFormat="1" x14ac:dyDescent="0.2">
      <c r="A161" s="110">
        <v>1481</v>
      </c>
      <c r="B161" s="111"/>
      <c r="C161" s="111"/>
      <c r="D161" s="112" t="s">
        <v>183</v>
      </c>
      <c r="E161" s="112"/>
      <c r="F161" s="110"/>
      <c r="G161" s="113">
        <v>155.4</v>
      </c>
      <c r="H161" s="212"/>
    </row>
    <row r="162" spans="1:8" s="50" customFormat="1" x14ac:dyDescent="0.2">
      <c r="A162" s="122">
        <v>1482</v>
      </c>
      <c r="B162" s="123"/>
      <c r="C162" s="123"/>
      <c r="D162" s="138" t="s">
        <v>184</v>
      </c>
      <c r="E162" s="138"/>
      <c r="F162" s="122"/>
      <c r="G162" s="132">
        <v>167</v>
      </c>
      <c r="H162" s="212"/>
    </row>
    <row r="163" spans="1:8" s="50" customFormat="1" x14ac:dyDescent="0.2">
      <c r="A163" s="110">
        <v>1483</v>
      </c>
      <c r="B163" s="111"/>
      <c r="C163" s="111"/>
      <c r="D163" s="112" t="s">
        <v>185</v>
      </c>
      <c r="E163" s="112"/>
      <c r="F163" s="110"/>
      <c r="G163" s="113">
        <v>178.5</v>
      </c>
      <c r="H163" s="212"/>
    </row>
    <row r="164" spans="1:8" ht="12.75" customHeight="1" x14ac:dyDescent="0.2">
      <c r="A164" s="122">
        <v>1484</v>
      </c>
      <c r="B164" s="123"/>
      <c r="C164" s="123"/>
      <c r="D164" s="138" t="s">
        <v>186</v>
      </c>
      <c r="E164" s="138"/>
      <c r="F164" s="122"/>
      <c r="G164" s="132">
        <v>190.1</v>
      </c>
    </row>
    <row r="165" spans="1:8" s="50" customFormat="1" x14ac:dyDescent="0.2">
      <c r="A165" s="110">
        <v>1485</v>
      </c>
      <c r="B165" s="111"/>
      <c r="C165" s="111"/>
      <c r="D165" s="112" t="s">
        <v>187</v>
      </c>
      <c r="E165" s="112"/>
      <c r="F165" s="110"/>
      <c r="G165" s="113">
        <v>201.6</v>
      </c>
      <c r="H165" s="212"/>
    </row>
    <row r="166" spans="1:8" s="50" customFormat="1" x14ac:dyDescent="0.2">
      <c r="A166" s="122">
        <v>1486</v>
      </c>
      <c r="B166" s="123"/>
      <c r="C166" s="123"/>
      <c r="D166" s="138" t="s">
        <v>188</v>
      </c>
      <c r="E166" s="138"/>
      <c r="F166" s="122"/>
      <c r="G166" s="132">
        <v>213.2</v>
      </c>
      <c r="H166" s="212"/>
    </row>
    <row r="167" spans="1:8" s="50" customFormat="1" x14ac:dyDescent="0.2">
      <c r="H167" s="212"/>
    </row>
    <row r="168" spans="1:8" s="50" customFormat="1" ht="15" x14ac:dyDescent="0.2">
      <c r="A168" s="145" t="s">
        <v>189</v>
      </c>
      <c r="B168" s="57"/>
      <c r="C168" s="57"/>
      <c r="D168" s="59"/>
      <c r="E168" s="59"/>
      <c r="F168" s="145"/>
      <c r="G168" s="57"/>
      <c r="H168" s="212"/>
    </row>
    <row r="169" spans="1:8" s="50" customFormat="1" x14ac:dyDescent="0.2">
      <c r="A169" s="12" t="s">
        <v>1</v>
      </c>
      <c r="B169" s="11" t="s">
        <v>2</v>
      </c>
      <c r="C169" s="12"/>
      <c r="D169" s="12" t="s">
        <v>116</v>
      </c>
      <c r="E169" s="11" t="s">
        <v>4</v>
      </c>
      <c r="F169" s="12"/>
      <c r="G169" s="11" t="s">
        <v>5</v>
      </c>
      <c r="H169" s="212"/>
    </row>
    <row r="170" spans="1:8" s="50" customFormat="1" x14ac:dyDescent="0.2">
      <c r="A170" s="110">
        <v>1422</v>
      </c>
      <c r="B170" s="111" t="s">
        <v>117</v>
      </c>
      <c r="C170" s="111"/>
      <c r="D170" s="112" t="s">
        <v>189</v>
      </c>
      <c r="E170" s="111">
        <v>1</v>
      </c>
      <c r="F170" s="115" t="s">
        <v>23</v>
      </c>
      <c r="G170" s="113">
        <v>251.6</v>
      </c>
      <c r="H170" s="212"/>
    </row>
    <row r="171" spans="1:8" s="50" customFormat="1" x14ac:dyDescent="0.2">
      <c r="A171" s="110"/>
      <c r="B171" s="111"/>
      <c r="C171" s="111"/>
      <c r="D171" s="112"/>
      <c r="E171" s="111">
        <v>10</v>
      </c>
      <c r="F171" s="115" t="s">
        <v>23</v>
      </c>
      <c r="G171" s="113">
        <v>239.1</v>
      </c>
      <c r="H171" s="212"/>
    </row>
    <row r="172" spans="1:8" s="50" customFormat="1" x14ac:dyDescent="0.2">
      <c r="A172" s="110"/>
      <c r="B172" s="111"/>
      <c r="C172" s="111"/>
      <c r="D172" s="112"/>
      <c r="E172" s="111">
        <v>20</v>
      </c>
      <c r="F172" s="115" t="s">
        <v>23</v>
      </c>
      <c r="G172" s="113">
        <v>226.5</v>
      </c>
      <c r="H172" s="212"/>
    </row>
    <row r="173" spans="1:8" s="50" customFormat="1" x14ac:dyDescent="0.2">
      <c r="A173" s="110"/>
      <c r="B173" s="111"/>
      <c r="C173" s="111"/>
      <c r="D173" s="112"/>
      <c r="E173" s="111">
        <v>30</v>
      </c>
      <c r="F173" s="115" t="s">
        <v>23</v>
      </c>
      <c r="G173" s="113">
        <v>213.9</v>
      </c>
      <c r="H173" s="212"/>
    </row>
    <row r="174" spans="1:8" s="50" customFormat="1" x14ac:dyDescent="0.2">
      <c r="A174" s="122">
        <v>1423</v>
      </c>
      <c r="B174" s="123" t="s">
        <v>119</v>
      </c>
      <c r="C174" s="123"/>
      <c r="D174" s="138" t="s">
        <v>189</v>
      </c>
      <c r="E174" s="123">
        <v>1</v>
      </c>
      <c r="F174" s="122"/>
      <c r="G174" s="132">
        <v>261.10000000000002</v>
      </c>
      <c r="H174" s="212"/>
    </row>
    <row r="175" spans="1:8" s="50" customFormat="1" x14ac:dyDescent="0.2">
      <c r="A175" s="122"/>
      <c r="B175" s="123"/>
      <c r="C175" s="123"/>
      <c r="D175" s="138"/>
      <c r="E175" s="123">
        <v>10</v>
      </c>
      <c r="F175" s="122"/>
      <c r="G175" s="132">
        <v>248.1</v>
      </c>
      <c r="H175" s="212"/>
    </row>
    <row r="176" spans="1:8" s="50" customFormat="1" x14ac:dyDescent="0.2">
      <c r="A176" s="122"/>
      <c r="B176" s="123"/>
      <c r="C176" s="123"/>
      <c r="D176" s="138"/>
      <c r="E176" s="123">
        <v>20</v>
      </c>
      <c r="F176" s="128" t="s">
        <v>23</v>
      </c>
      <c r="G176" s="132">
        <v>235</v>
      </c>
      <c r="H176" s="212"/>
    </row>
    <row r="177" spans="1:8" s="50" customFormat="1" x14ac:dyDescent="0.2">
      <c r="A177" s="122"/>
      <c r="B177" s="123"/>
      <c r="C177" s="123"/>
      <c r="D177" s="138"/>
      <c r="E177" s="123">
        <v>30</v>
      </c>
      <c r="F177" s="128" t="s">
        <v>23</v>
      </c>
      <c r="G177" s="132">
        <v>222</v>
      </c>
      <c r="H177" s="212"/>
    </row>
    <row r="178" spans="1:8" s="50" customFormat="1" x14ac:dyDescent="0.2">
      <c r="A178" s="110">
        <v>1424</v>
      </c>
      <c r="B178" s="111" t="s">
        <v>139</v>
      </c>
      <c r="C178" s="111"/>
      <c r="D178" s="112" t="s">
        <v>189</v>
      </c>
      <c r="E178" s="111">
        <v>1</v>
      </c>
      <c r="F178" s="110"/>
      <c r="G178" s="113">
        <v>275.39999999999998</v>
      </c>
      <c r="H178" s="212"/>
    </row>
    <row r="179" spans="1:8" s="50" customFormat="1" x14ac:dyDescent="0.2">
      <c r="A179" s="110"/>
      <c r="B179" s="111"/>
      <c r="C179" s="111"/>
      <c r="D179" s="112"/>
      <c r="E179" s="111">
        <v>10</v>
      </c>
      <c r="F179" s="110"/>
      <c r="G179" s="113">
        <v>261.60000000000002</v>
      </c>
      <c r="H179" s="212"/>
    </row>
    <row r="180" spans="1:8" s="50" customFormat="1" x14ac:dyDescent="0.2">
      <c r="A180" s="110"/>
      <c r="B180" s="111"/>
      <c r="C180" s="111"/>
      <c r="D180" s="112"/>
      <c r="E180" s="111">
        <v>20</v>
      </c>
      <c r="F180" s="110"/>
      <c r="G180" s="113">
        <v>247.8</v>
      </c>
      <c r="H180" s="212"/>
    </row>
    <row r="181" spans="1:8" s="50" customFormat="1" x14ac:dyDescent="0.2">
      <c r="A181" s="110"/>
      <c r="B181" s="111"/>
      <c r="C181" s="111"/>
      <c r="D181" s="112"/>
      <c r="E181" s="111">
        <v>30</v>
      </c>
      <c r="F181" s="110"/>
      <c r="G181" s="113">
        <v>234.1</v>
      </c>
      <c r="H181" s="212"/>
    </row>
    <row r="182" spans="1:8" s="50" customFormat="1" x14ac:dyDescent="0.2">
      <c r="A182" s="122">
        <v>1425</v>
      </c>
      <c r="B182" s="123" t="s">
        <v>14</v>
      </c>
      <c r="C182" s="123"/>
      <c r="D182" s="138" t="s">
        <v>189</v>
      </c>
      <c r="E182" s="123">
        <v>1</v>
      </c>
      <c r="F182" s="122"/>
      <c r="G182" s="132">
        <v>299.10000000000002</v>
      </c>
      <c r="H182" s="212"/>
    </row>
    <row r="183" spans="1:8" s="50" customFormat="1" x14ac:dyDescent="0.2">
      <c r="A183" s="122"/>
      <c r="B183" s="123"/>
      <c r="C183" s="123"/>
      <c r="D183" s="138"/>
      <c r="E183" s="123">
        <v>10</v>
      </c>
      <c r="F183" s="122"/>
      <c r="G183" s="132">
        <v>284.2</v>
      </c>
      <c r="H183" s="212"/>
    </row>
    <row r="184" spans="1:8" s="50" customFormat="1" x14ac:dyDescent="0.2">
      <c r="A184" s="122"/>
      <c r="B184" s="123"/>
      <c r="C184" s="123"/>
      <c r="D184" s="138"/>
      <c r="E184" s="123">
        <v>20</v>
      </c>
      <c r="F184" s="128" t="s">
        <v>23</v>
      </c>
      <c r="G184" s="132">
        <v>269.2</v>
      </c>
      <c r="H184" s="212"/>
    </row>
    <row r="185" spans="1:8" s="50" customFormat="1" x14ac:dyDescent="0.2">
      <c r="A185" s="122"/>
      <c r="B185" s="123"/>
      <c r="C185" s="123"/>
      <c r="D185" s="138"/>
      <c r="E185" s="123">
        <v>30</v>
      </c>
      <c r="F185" s="128" t="s">
        <v>23</v>
      </c>
      <c r="G185" s="132">
        <v>254.3</v>
      </c>
      <c r="H185" s="212"/>
    </row>
    <row r="186" spans="1:8" s="50" customFormat="1" x14ac:dyDescent="0.2">
      <c r="A186" s="1"/>
      <c r="B186" s="1"/>
      <c r="C186" s="1"/>
      <c r="D186" s="58"/>
      <c r="E186" s="58"/>
      <c r="F186" s="1"/>
      <c r="G186" s="1"/>
      <c r="H186" s="212"/>
    </row>
    <row r="187" spans="1:8" s="50" customFormat="1" ht="15" x14ac:dyDescent="0.2">
      <c r="A187" s="145" t="s">
        <v>190</v>
      </c>
      <c r="B187" s="57"/>
      <c r="C187" s="57"/>
      <c r="D187" s="59"/>
      <c r="E187" s="59"/>
      <c r="F187" s="145"/>
      <c r="G187" s="57"/>
      <c r="H187" s="212"/>
    </row>
    <row r="188" spans="1:8" s="50" customFormat="1" x14ac:dyDescent="0.2">
      <c r="A188" s="12" t="s">
        <v>1</v>
      </c>
      <c r="B188" s="11" t="s">
        <v>2</v>
      </c>
      <c r="C188" s="12"/>
      <c r="D188" s="12" t="s">
        <v>116</v>
      </c>
      <c r="E188" s="11" t="s">
        <v>4</v>
      </c>
      <c r="F188" s="12"/>
      <c r="G188" s="11" t="s">
        <v>5</v>
      </c>
      <c r="H188" s="212"/>
    </row>
    <row r="189" spans="1:8" s="50" customFormat="1" x14ac:dyDescent="0.2">
      <c r="A189" s="110">
        <v>1448</v>
      </c>
      <c r="B189" s="111" t="s">
        <v>117</v>
      </c>
      <c r="C189" s="111"/>
      <c r="D189" s="112" t="s">
        <v>173</v>
      </c>
      <c r="E189" s="111">
        <v>1</v>
      </c>
      <c r="F189" s="115" t="s">
        <v>23</v>
      </c>
      <c r="G189" s="113">
        <v>340.2</v>
      </c>
      <c r="H189" s="212"/>
    </row>
    <row r="190" spans="1:8" s="50" customFormat="1" x14ac:dyDescent="0.2">
      <c r="A190" s="110"/>
      <c r="B190" s="111"/>
      <c r="C190" s="111"/>
      <c r="D190" s="112"/>
      <c r="E190" s="111">
        <v>10</v>
      </c>
      <c r="F190" s="115" t="s">
        <v>23</v>
      </c>
      <c r="G190" s="113">
        <v>323.2</v>
      </c>
      <c r="H190" s="212"/>
    </row>
    <row r="191" spans="1:8" s="50" customFormat="1" x14ac:dyDescent="0.2">
      <c r="A191" s="110"/>
      <c r="B191" s="111"/>
      <c r="C191" s="111"/>
      <c r="D191" s="112"/>
      <c r="E191" s="111">
        <v>20</v>
      </c>
      <c r="F191" s="115" t="s">
        <v>23</v>
      </c>
      <c r="G191" s="113">
        <v>306.2</v>
      </c>
      <c r="H191" s="212"/>
    </row>
    <row r="192" spans="1:8" s="50" customFormat="1" x14ac:dyDescent="0.2">
      <c r="A192" s="110"/>
      <c r="B192" s="111"/>
      <c r="C192" s="111"/>
      <c r="D192" s="112"/>
      <c r="E192" s="111">
        <v>30</v>
      </c>
      <c r="F192" s="115" t="s">
        <v>23</v>
      </c>
      <c r="G192" s="113">
        <v>289.2</v>
      </c>
      <c r="H192" s="212"/>
    </row>
    <row r="193" spans="1:8" s="50" customFormat="1" x14ac:dyDescent="0.2">
      <c r="A193" s="122">
        <v>1447</v>
      </c>
      <c r="B193" s="123" t="s">
        <v>117</v>
      </c>
      <c r="C193" s="123"/>
      <c r="D193" s="138" t="s">
        <v>174</v>
      </c>
      <c r="E193" s="123">
        <v>1</v>
      </c>
      <c r="F193" s="128" t="s">
        <v>23</v>
      </c>
      <c r="G193" s="132">
        <v>314.7</v>
      </c>
      <c r="H193" s="212"/>
    </row>
    <row r="194" spans="1:8" s="50" customFormat="1" x14ac:dyDescent="0.2">
      <c r="A194" s="122"/>
      <c r="B194" s="123"/>
      <c r="C194" s="123"/>
      <c r="D194" s="138"/>
      <c r="E194" s="123">
        <v>10</v>
      </c>
      <c r="F194" s="128" t="s">
        <v>23</v>
      </c>
      <c r="G194" s="132">
        <v>299</v>
      </c>
      <c r="H194" s="212"/>
    </row>
    <row r="195" spans="1:8" s="50" customFormat="1" x14ac:dyDescent="0.2">
      <c r="A195" s="122"/>
      <c r="B195" s="123"/>
      <c r="C195" s="123"/>
      <c r="D195" s="138"/>
      <c r="E195" s="123">
        <v>20</v>
      </c>
      <c r="F195" s="128" t="s">
        <v>23</v>
      </c>
      <c r="G195" s="132">
        <v>283.2</v>
      </c>
      <c r="H195" s="212"/>
    </row>
    <row r="196" spans="1:8" s="50" customFormat="1" x14ac:dyDescent="0.2">
      <c r="A196" s="122"/>
      <c r="B196" s="123"/>
      <c r="C196" s="123"/>
      <c r="D196" s="138"/>
      <c r="E196" s="123">
        <v>30</v>
      </c>
      <c r="F196" s="128" t="s">
        <v>23</v>
      </c>
      <c r="G196" s="132">
        <v>267.5</v>
      </c>
      <c r="H196" s="212"/>
    </row>
    <row r="197" spans="1:8" s="50" customFormat="1" x14ac:dyDescent="0.2">
      <c r="A197" s="110">
        <v>1446</v>
      </c>
      <c r="B197" s="111" t="s">
        <v>119</v>
      </c>
      <c r="C197" s="111"/>
      <c r="D197" s="112" t="s">
        <v>173</v>
      </c>
      <c r="E197" s="111">
        <v>1</v>
      </c>
      <c r="F197" s="115" t="s">
        <v>23</v>
      </c>
      <c r="G197" s="113">
        <v>347.8</v>
      </c>
      <c r="H197" s="212"/>
    </row>
    <row r="198" spans="1:8" s="50" customFormat="1" x14ac:dyDescent="0.2">
      <c r="A198" s="110"/>
      <c r="B198" s="111"/>
      <c r="C198" s="111"/>
      <c r="D198" s="112"/>
      <c r="E198" s="111">
        <v>10</v>
      </c>
      <c r="F198" s="115" t="s">
        <v>23</v>
      </c>
      <c r="G198" s="113">
        <v>330.4</v>
      </c>
      <c r="H198" s="212"/>
    </row>
    <row r="199" spans="1:8" s="50" customFormat="1" x14ac:dyDescent="0.2">
      <c r="A199" s="110"/>
      <c r="B199" s="111"/>
      <c r="C199" s="111"/>
      <c r="D199" s="112"/>
      <c r="E199" s="111">
        <v>20</v>
      </c>
      <c r="F199" s="115" t="s">
        <v>23</v>
      </c>
      <c r="G199" s="113">
        <v>313</v>
      </c>
      <c r="H199" s="212"/>
    </row>
    <row r="200" spans="1:8" s="50" customFormat="1" x14ac:dyDescent="0.2">
      <c r="A200" s="110"/>
      <c r="B200" s="111"/>
      <c r="C200" s="111"/>
      <c r="D200" s="112"/>
      <c r="E200" s="111">
        <v>30</v>
      </c>
      <c r="F200" s="115" t="s">
        <v>23</v>
      </c>
      <c r="G200" s="113">
        <v>295.60000000000002</v>
      </c>
      <c r="H200" s="212"/>
    </row>
    <row r="201" spans="1:8" s="50" customFormat="1" x14ac:dyDescent="0.2">
      <c r="A201" s="122">
        <v>1445</v>
      </c>
      <c r="B201" s="123" t="s">
        <v>119</v>
      </c>
      <c r="C201" s="123"/>
      <c r="D201" s="138" t="s">
        <v>174</v>
      </c>
      <c r="E201" s="123">
        <v>1</v>
      </c>
      <c r="F201" s="128" t="s">
        <v>23</v>
      </c>
      <c r="G201" s="132">
        <v>322.3</v>
      </c>
      <c r="H201" s="212"/>
    </row>
    <row r="202" spans="1:8" s="50" customFormat="1" x14ac:dyDescent="0.2">
      <c r="A202" s="122"/>
      <c r="B202" s="123"/>
      <c r="C202" s="123"/>
      <c r="D202" s="138"/>
      <c r="E202" s="123">
        <v>10</v>
      </c>
      <c r="F202" s="128" t="s">
        <v>23</v>
      </c>
      <c r="G202" s="132">
        <v>306.2</v>
      </c>
      <c r="H202" s="212"/>
    </row>
    <row r="203" spans="1:8" s="50" customFormat="1" x14ac:dyDescent="0.2">
      <c r="A203" s="122"/>
      <c r="B203" s="123"/>
      <c r="C203" s="123"/>
      <c r="D203" s="138"/>
      <c r="E203" s="123">
        <v>20</v>
      </c>
      <c r="F203" s="128" t="s">
        <v>23</v>
      </c>
      <c r="G203" s="132">
        <v>290.10000000000002</v>
      </c>
      <c r="H203" s="212"/>
    </row>
    <row r="204" spans="1:8" s="50" customFormat="1" x14ac:dyDescent="0.2">
      <c r="A204" s="122"/>
      <c r="B204" s="123"/>
      <c r="C204" s="123"/>
      <c r="D204" s="138"/>
      <c r="E204" s="123">
        <v>30</v>
      </c>
      <c r="F204" s="128" t="s">
        <v>23</v>
      </c>
      <c r="G204" s="132">
        <v>273.89999999999998</v>
      </c>
      <c r="H204" s="212"/>
    </row>
    <row r="205" spans="1:8" s="50" customFormat="1" x14ac:dyDescent="0.2">
      <c r="A205" s="110">
        <v>1444</v>
      </c>
      <c r="B205" s="111" t="s">
        <v>139</v>
      </c>
      <c r="C205" s="111"/>
      <c r="D205" s="112" t="s">
        <v>173</v>
      </c>
      <c r="E205" s="111">
        <v>1</v>
      </c>
      <c r="F205" s="115" t="s">
        <v>23</v>
      </c>
      <c r="G205" s="113">
        <v>356.3</v>
      </c>
      <c r="H205" s="212"/>
    </row>
    <row r="206" spans="1:8" s="50" customFormat="1" x14ac:dyDescent="0.2">
      <c r="A206" s="110"/>
      <c r="B206" s="111"/>
      <c r="C206" s="111"/>
      <c r="D206" s="112"/>
      <c r="E206" s="111">
        <v>10</v>
      </c>
      <c r="F206" s="115" t="s">
        <v>23</v>
      </c>
      <c r="G206" s="113">
        <v>338.5</v>
      </c>
      <c r="H206" s="212"/>
    </row>
    <row r="207" spans="1:8" s="50" customFormat="1" x14ac:dyDescent="0.2">
      <c r="A207" s="110"/>
      <c r="B207" s="111"/>
      <c r="C207" s="111"/>
      <c r="D207" s="112"/>
      <c r="E207" s="111">
        <v>20</v>
      </c>
      <c r="F207" s="115" t="s">
        <v>23</v>
      </c>
      <c r="G207" s="113">
        <v>320.60000000000002</v>
      </c>
      <c r="H207" s="212"/>
    </row>
    <row r="208" spans="1:8" s="50" customFormat="1" x14ac:dyDescent="0.2">
      <c r="A208" s="110"/>
      <c r="B208" s="111"/>
      <c r="C208" s="111"/>
      <c r="D208" s="112"/>
      <c r="E208" s="111">
        <v>30</v>
      </c>
      <c r="F208" s="115" t="s">
        <v>23</v>
      </c>
      <c r="G208" s="113">
        <v>302.8</v>
      </c>
      <c r="H208" s="212"/>
    </row>
    <row r="209" spans="1:8" s="50" customFormat="1" x14ac:dyDescent="0.2">
      <c r="A209" s="122">
        <v>1443</v>
      </c>
      <c r="B209" s="123" t="s">
        <v>139</v>
      </c>
      <c r="C209" s="123"/>
      <c r="D209" s="138" t="s">
        <v>174</v>
      </c>
      <c r="E209" s="123">
        <v>1</v>
      </c>
      <c r="F209" s="128" t="s">
        <v>23</v>
      </c>
      <c r="G209" s="132">
        <v>330.8</v>
      </c>
      <c r="H209" s="212"/>
    </row>
    <row r="210" spans="1:8" s="50" customFormat="1" x14ac:dyDescent="0.2">
      <c r="A210" s="122"/>
      <c r="B210" s="123"/>
      <c r="C210" s="123"/>
      <c r="D210" s="138"/>
      <c r="E210" s="123">
        <v>10</v>
      </c>
      <c r="F210" s="128" t="s">
        <v>23</v>
      </c>
      <c r="G210" s="132">
        <v>314.2</v>
      </c>
      <c r="H210" s="212"/>
    </row>
    <row r="211" spans="1:8" s="50" customFormat="1" x14ac:dyDescent="0.2">
      <c r="A211" s="122"/>
      <c r="B211" s="123"/>
      <c r="C211" s="123"/>
      <c r="D211" s="138"/>
      <c r="E211" s="123">
        <v>20</v>
      </c>
      <c r="F211" s="128" t="s">
        <v>23</v>
      </c>
      <c r="G211" s="132">
        <v>297.7</v>
      </c>
      <c r="H211" s="212"/>
    </row>
    <row r="212" spans="1:8" s="50" customFormat="1" x14ac:dyDescent="0.2">
      <c r="A212" s="122"/>
      <c r="B212" s="123"/>
      <c r="C212" s="123"/>
      <c r="D212" s="138"/>
      <c r="E212" s="123">
        <v>30</v>
      </c>
      <c r="F212" s="128" t="s">
        <v>23</v>
      </c>
      <c r="G212" s="132">
        <v>281.2</v>
      </c>
      <c r="H212" s="212"/>
    </row>
    <row r="213" spans="1:8" s="50" customFormat="1" x14ac:dyDescent="0.2">
      <c r="A213" s="110">
        <v>1442</v>
      </c>
      <c r="B213" s="111" t="s">
        <v>14</v>
      </c>
      <c r="C213" s="111"/>
      <c r="D213" s="112" t="s">
        <v>173</v>
      </c>
      <c r="E213" s="111">
        <v>1</v>
      </c>
      <c r="F213" s="115" t="s">
        <v>23</v>
      </c>
      <c r="G213" s="113">
        <v>371.3</v>
      </c>
      <c r="H213" s="212"/>
    </row>
    <row r="214" spans="1:8" s="50" customFormat="1" x14ac:dyDescent="0.2">
      <c r="A214" s="110"/>
      <c r="B214" s="111"/>
      <c r="C214" s="111"/>
      <c r="D214" s="112"/>
      <c r="E214" s="111">
        <v>10</v>
      </c>
      <c r="F214" s="115" t="s">
        <v>23</v>
      </c>
      <c r="G214" s="113">
        <v>352.7</v>
      </c>
      <c r="H214" s="212"/>
    </row>
    <row r="215" spans="1:8" s="50" customFormat="1" x14ac:dyDescent="0.2">
      <c r="A215" s="110"/>
      <c r="B215" s="111"/>
      <c r="C215" s="111"/>
      <c r="D215" s="112"/>
      <c r="E215" s="111">
        <v>20</v>
      </c>
      <c r="F215" s="115" t="s">
        <v>23</v>
      </c>
      <c r="G215" s="113">
        <v>334.1</v>
      </c>
      <c r="H215" s="212"/>
    </row>
    <row r="216" spans="1:8" s="50" customFormat="1" x14ac:dyDescent="0.2">
      <c r="A216" s="110"/>
      <c r="B216" s="111"/>
      <c r="C216" s="111"/>
      <c r="D216" s="112"/>
      <c r="E216" s="111">
        <v>30</v>
      </c>
      <c r="F216" s="115" t="s">
        <v>23</v>
      </c>
      <c r="G216" s="113">
        <v>315.60000000000002</v>
      </c>
      <c r="H216" s="212"/>
    </row>
    <row r="217" spans="1:8" s="50" customFormat="1" x14ac:dyDescent="0.2">
      <c r="A217" s="122">
        <v>1441</v>
      </c>
      <c r="B217" s="123" t="s">
        <v>14</v>
      </c>
      <c r="C217" s="123"/>
      <c r="D217" s="138" t="s">
        <v>174</v>
      </c>
      <c r="E217" s="123">
        <v>1</v>
      </c>
      <c r="F217" s="128" t="s">
        <v>23</v>
      </c>
      <c r="G217" s="132">
        <v>363.1</v>
      </c>
      <c r="H217" s="212"/>
    </row>
    <row r="218" spans="1:8" s="50" customFormat="1" x14ac:dyDescent="0.2">
      <c r="A218" s="122"/>
      <c r="B218" s="123"/>
      <c r="C218" s="123"/>
      <c r="D218" s="138"/>
      <c r="E218" s="123">
        <v>10</v>
      </c>
      <c r="F218" s="128" t="s">
        <v>23</v>
      </c>
      <c r="G218" s="132">
        <v>344.9</v>
      </c>
      <c r="H218" s="212"/>
    </row>
    <row r="219" spans="1:8" s="50" customFormat="1" x14ac:dyDescent="0.2">
      <c r="A219" s="122"/>
      <c r="B219" s="123"/>
      <c r="C219" s="123"/>
      <c r="D219" s="138"/>
      <c r="E219" s="123">
        <v>20</v>
      </c>
      <c r="F219" s="128" t="s">
        <v>23</v>
      </c>
      <c r="G219" s="132">
        <v>326.8</v>
      </c>
      <c r="H219" s="212"/>
    </row>
    <row r="220" spans="1:8" s="50" customFormat="1" x14ac:dyDescent="0.2">
      <c r="A220" s="122"/>
      <c r="B220" s="123"/>
      <c r="C220" s="123"/>
      <c r="D220" s="138"/>
      <c r="E220" s="123">
        <v>30</v>
      </c>
      <c r="F220" s="128" t="s">
        <v>23</v>
      </c>
      <c r="G220" s="132">
        <v>308.60000000000002</v>
      </c>
      <c r="H220" s="212"/>
    </row>
    <row r="221" spans="1:8" s="50" customFormat="1" x14ac:dyDescent="0.2">
      <c r="H221" s="212"/>
    </row>
    <row r="222" spans="1:8" s="50" customFormat="1" ht="15" x14ac:dyDescent="0.2">
      <c r="A222" s="145" t="s">
        <v>191</v>
      </c>
      <c r="B222" s="57"/>
      <c r="C222" s="57"/>
      <c r="D222" s="59"/>
      <c r="E222" s="59"/>
      <c r="F222" s="145"/>
      <c r="G222" s="57"/>
      <c r="H222" s="212"/>
    </row>
    <row r="223" spans="1:8" s="50" customFormat="1" x14ac:dyDescent="0.2">
      <c r="A223" s="12" t="s">
        <v>1</v>
      </c>
      <c r="B223" s="11" t="s">
        <v>2</v>
      </c>
      <c r="C223" s="12"/>
      <c r="D223" s="71" t="s">
        <v>116</v>
      </c>
      <c r="E223" s="12" t="s">
        <v>4</v>
      </c>
      <c r="F223" s="12"/>
      <c r="G223" s="11" t="s">
        <v>5</v>
      </c>
      <c r="H223" s="212"/>
    </row>
    <row r="224" spans="1:8" s="50" customFormat="1" x14ac:dyDescent="0.2">
      <c r="A224" s="110">
        <v>1450</v>
      </c>
      <c r="B224" s="111" t="s">
        <v>117</v>
      </c>
      <c r="C224" s="111"/>
      <c r="D224" s="112" t="s">
        <v>192</v>
      </c>
      <c r="E224" s="111">
        <v>1</v>
      </c>
      <c r="F224" s="115" t="s">
        <v>23</v>
      </c>
      <c r="G224" s="113">
        <v>350.6</v>
      </c>
      <c r="H224" s="212"/>
    </row>
    <row r="225" spans="1:8" s="50" customFormat="1" x14ac:dyDescent="0.2">
      <c r="A225" s="110"/>
      <c r="B225" s="111"/>
      <c r="C225" s="111"/>
      <c r="D225" s="112"/>
      <c r="E225" s="111">
        <v>10</v>
      </c>
      <c r="F225" s="115" t="s">
        <v>23</v>
      </c>
      <c r="G225" s="113">
        <v>333</v>
      </c>
      <c r="H225" s="212"/>
    </row>
    <row r="226" spans="1:8" s="50" customFormat="1" x14ac:dyDescent="0.2">
      <c r="A226" s="110"/>
      <c r="B226" s="111"/>
      <c r="C226" s="111"/>
      <c r="D226" s="112"/>
      <c r="E226" s="111">
        <v>20</v>
      </c>
      <c r="F226" s="115" t="s">
        <v>23</v>
      </c>
      <c r="G226" s="113">
        <v>315.5</v>
      </c>
      <c r="H226" s="212"/>
    </row>
    <row r="227" spans="1:8" s="50" customFormat="1" x14ac:dyDescent="0.2">
      <c r="A227" s="110"/>
      <c r="B227" s="111"/>
      <c r="C227" s="111"/>
      <c r="D227" s="112"/>
      <c r="E227" s="111">
        <v>30</v>
      </c>
      <c r="F227" s="115" t="s">
        <v>23</v>
      </c>
      <c r="G227" s="113">
        <v>298</v>
      </c>
      <c r="H227" s="212"/>
    </row>
    <row r="228" spans="1:8" s="50" customFormat="1" x14ac:dyDescent="0.2">
      <c r="A228" s="122">
        <v>1466</v>
      </c>
      <c r="B228" s="123" t="s">
        <v>117</v>
      </c>
      <c r="C228" s="123"/>
      <c r="D228" s="138" t="s">
        <v>193</v>
      </c>
      <c r="E228" s="123">
        <v>1</v>
      </c>
      <c r="F228" s="128" t="s">
        <v>23</v>
      </c>
      <c r="G228" s="132">
        <v>350.6</v>
      </c>
      <c r="H228" s="212"/>
    </row>
    <row r="229" spans="1:8" s="50" customFormat="1" x14ac:dyDescent="0.2">
      <c r="A229" s="122"/>
      <c r="B229" s="123"/>
      <c r="C229" s="123"/>
      <c r="D229" s="138"/>
      <c r="E229" s="123">
        <v>10</v>
      </c>
      <c r="F229" s="128" t="s">
        <v>23</v>
      </c>
      <c r="G229" s="132">
        <v>333</v>
      </c>
      <c r="H229" s="212"/>
    </row>
    <row r="230" spans="1:8" s="50" customFormat="1" x14ac:dyDescent="0.2">
      <c r="A230" s="122"/>
      <c r="B230" s="123"/>
      <c r="C230" s="123"/>
      <c r="D230" s="138"/>
      <c r="E230" s="123">
        <v>20</v>
      </c>
      <c r="F230" s="128" t="s">
        <v>23</v>
      </c>
      <c r="G230" s="132">
        <v>315.5</v>
      </c>
      <c r="H230" s="212"/>
    </row>
    <row r="231" spans="1:8" s="50" customFormat="1" x14ac:dyDescent="0.2">
      <c r="A231" s="122"/>
      <c r="B231" s="123"/>
      <c r="C231" s="123"/>
      <c r="D231" s="138"/>
      <c r="E231" s="123">
        <v>30</v>
      </c>
      <c r="F231" s="128" t="s">
        <v>23</v>
      </c>
      <c r="G231" s="132">
        <v>298</v>
      </c>
      <c r="H231" s="212"/>
    </row>
    <row r="232" spans="1:8" s="50" customFormat="1" x14ac:dyDescent="0.2">
      <c r="A232" s="110">
        <v>1455</v>
      </c>
      <c r="B232" s="111" t="s">
        <v>150</v>
      </c>
      <c r="C232" s="111"/>
      <c r="D232" s="112" t="s">
        <v>192</v>
      </c>
      <c r="E232" s="111">
        <v>1</v>
      </c>
      <c r="F232" s="115" t="s">
        <v>23</v>
      </c>
      <c r="G232" s="113">
        <v>362.9</v>
      </c>
      <c r="H232" s="212"/>
    </row>
    <row r="233" spans="1:8" s="50" customFormat="1" x14ac:dyDescent="0.2">
      <c r="A233" s="110"/>
      <c r="B233" s="111"/>
      <c r="C233" s="111"/>
      <c r="D233" s="112"/>
      <c r="E233" s="111">
        <v>10</v>
      </c>
      <c r="F233" s="115" t="s">
        <v>23</v>
      </c>
      <c r="G233" s="113">
        <v>344.8</v>
      </c>
      <c r="H233" s="212"/>
    </row>
    <row r="234" spans="1:8" s="50" customFormat="1" x14ac:dyDescent="0.2">
      <c r="A234" s="110"/>
      <c r="B234" s="111"/>
      <c r="C234" s="111"/>
      <c r="D234" s="112"/>
      <c r="E234" s="111">
        <v>20</v>
      </c>
      <c r="F234" s="115" t="s">
        <v>23</v>
      </c>
      <c r="G234" s="113">
        <v>326.60000000000002</v>
      </c>
      <c r="H234" s="212"/>
    </row>
    <row r="235" spans="1:8" s="50" customFormat="1" x14ac:dyDescent="0.2">
      <c r="A235" s="110"/>
      <c r="B235" s="111"/>
      <c r="C235" s="111"/>
      <c r="D235" s="112"/>
      <c r="E235" s="111">
        <v>30</v>
      </c>
      <c r="F235" s="115" t="s">
        <v>23</v>
      </c>
      <c r="G235" s="113">
        <v>308.5</v>
      </c>
      <c r="H235" s="212"/>
    </row>
    <row r="236" spans="1:8" s="50" customFormat="1" x14ac:dyDescent="0.2">
      <c r="A236" s="122">
        <v>1456</v>
      </c>
      <c r="B236" s="123" t="s">
        <v>150</v>
      </c>
      <c r="C236" s="123"/>
      <c r="D236" s="138" t="s">
        <v>193</v>
      </c>
      <c r="E236" s="123">
        <v>1</v>
      </c>
      <c r="F236" s="128" t="s">
        <v>23</v>
      </c>
      <c r="G236" s="132">
        <v>362.9</v>
      </c>
      <c r="H236" s="212"/>
    </row>
    <row r="237" spans="1:8" s="50" customFormat="1" x14ac:dyDescent="0.2">
      <c r="A237" s="122"/>
      <c r="B237" s="123"/>
      <c r="C237" s="123"/>
      <c r="D237" s="138"/>
      <c r="E237" s="123">
        <v>10</v>
      </c>
      <c r="F237" s="128" t="s">
        <v>23</v>
      </c>
      <c r="G237" s="132">
        <v>344.8</v>
      </c>
      <c r="H237" s="212"/>
    </row>
    <row r="238" spans="1:8" x14ac:dyDescent="0.2">
      <c r="A238" s="122"/>
      <c r="B238" s="123"/>
      <c r="C238" s="123"/>
      <c r="D238" s="138"/>
      <c r="E238" s="123">
        <v>20</v>
      </c>
      <c r="F238" s="128" t="s">
        <v>23</v>
      </c>
      <c r="G238" s="132">
        <v>326.60000000000002</v>
      </c>
    </row>
    <row r="239" spans="1:8" x14ac:dyDescent="0.2">
      <c r="A239" s="122"/>
      <c r="B239" s="123"/>
      <c r="C239" s="123"/>
      <c r="D239" s="138"/>
      <c r="E239" s="123">
        <v>30</v>
      </c>
      <c r="F239" s="128" t="s">
        <v>23</v>
      </c>
      <c r="G239" s="132">
        <v>308.5</v>
      </c>
    </row>
    <row r="240" spans="1:8" x14ac:dyDescent="0.2">
      <c r="A240" s="110">
        <v>1457</v>
      </c>
      <c r="B240" s="111" t="s">
        <v>155</v>
      </c>
      <c r="C240" s="111"/>
      <c r="D240" s="112" t="s">
        <v>192</v>
      </c>
      <c r="E240" s="111">
        <v>1</v>
      </c>
      <c r="F240" s="115" t="s">
        <v>23</v>
      </c>
      <c r="G240" s="113">
        <v>376.5</v>
      </c>
    </row>
    <row r="241" spans="1:7" x14ac:dyDescent="0.2">
      <c r="A241" s="110"/>
      <c r="B241" s="111"/>
      <c r="C241" s="111"/>
      <c r="D241" s="112"/>
      <c r="E241" s="111">
        <v>10</v>
      </c>
      <c r="F241" s="115" t="s">
        <v>23</v>
      </c>
      <c r="G241" s="113">
        <v>357.6</v>
      </c>
    </row>
    <row r="242" spans="1:7" x14ac:dyDescent="0.2">
      <c r="A242" s="110"/>
      <c r="B242" s="111"/>
      <c r="C242" s="111"/>
      <c r="D242" s="112"/>
      <c r="E242" s="111">
        <v>20</v>
      </c>
      <c r="F242" s="115" t="s">
        <v>23</v>
      </c>
      <c r="G242" s="113">
        <v>338.8</v>
      </c>
    </row>
    <row r="243" spans="1:7" x14ac:dyDescent="0.2">
      <c r="A243" s="110"/>
      <c r="B243" s="111"/>
      <c r="C243" s="111"/>
      <c r="D243" s="112"/>
      <c r="E243" s="111">
        <v>30</v>
      </c>
      <c r="F243" s="115" t="s">
        <v>23</v>
      </c>
      <c r="G243" s="113">
        <v>320</v>
      </c>
    </row>
    <row r="244" spans="1:7" x14ac:dyDescent="0.2">
      <c r="A244" s="122">
        <v>1458</v>
      </c>
      <c r="B244" s="123" t="s">
        <v>155</v>
      </c>
      <c r="C244" s="123"/>
      <c r="D244" s="138" t="s">
        <v>193</v>
      </c>
      <c r="E244" s="123">
        <v>1</v>
      </c>
      <c r="F244" s="128" t="s">
        <v>23</v>
      </c>
      <c r="G244" s="132">
        <v>376.5</v>
      </c>
    </row>
    <row r="245" spans="1:7" x14ac:dyDescent="0.2">
      <c r="A245" s="122"/>
      <c r="B245" s="123"/>
      <c r="C245" s="123"/>
      <c r="D245" s="138"/>
      <c r="E245" s="123">
        <v>10</v>
      </c>
      <c r="F245" s="128" t="s">
        <v>23</v>
      </c>
      <c r="G245" s="132">
        <v>357.6</v>
      </c>
    </row>
    <row r="246" spans="1:7" x14ac:dyDescent="0.2">
      <c r="A246" s="122"/>
      <c r="B246" s="123"/>
      <c r="C246" s="123"/>
      <c r="D246" s="138"/>
      <c r="E246" s="123">
        <v>20</v>
      </c>
      <c r="F246" s="128" t="s">
        <v>23</v>
      </c>
      <c r="G246" s="132">
        <v>338.8</v>
      </c>
    </row>
    <row r="247" spans="1:7" x14ac:dyDescent="0.2">
      <c r="A247" s="122"/>
      <c r="B247" s="123"/>
      <c r="C247" s="123"/>
      <c r="D247" s="138"/>
      <c r="E247" s="123">
        <v>30</v>
      </c>
      <c r="F247" s="128" t="s">
        <v>23</v>
      </c>
      <c r="G247" s="132">
        <v>320</v>
      </c>
    </row>
    <row r="248" spans="1:7" x14ac:dyDescent="0.2">
      <c r="A248" s="110">
        <v>1459</v>
      </c>
      <c r="B248" s="111" t="s">
        <v>194</v>
      </c>
      <c r="C248" s="111"/>
      <c r="D248" s="112" t="s">
        <v>192</v>
      </c>
      <c r="E248" s="111">
        <v>1</v>
      </c>
      <c r="F248" s="115" t="s">
        <v>23</v>
      </c>
      <c r="G248" s="113">
        <v>410.8</v>
      </c>
    </row>
    <row r="249" spans="1:7" x14ac:dyDescent="0.2">
      <c r="A249" s="110"/>
      <c r="B249" s="111"/>
      <c r="C249" s="111"/>
      <c r="D249" s="112"/>
      <c r="E249" s="111">
        <v>10</v>
      </c>
      <c r="F249" s="115" t="s">
        <v>23</v>
      </c>
      <c r="G249" s="113">
        <v>390.3</v>
      </c>
    </row>
    <row r="250" spans="1:7" x14ac:dyDescent="0.2">
      <c r="A250" s="110"/>
      <c r="B250" s="111"/>
      <c r="C250" s="111"/>
      <c r="D250" s="112"/>
      <c r="E250" s="111">
        <v>20</v>
      </c>
      <c r="F250" s="115" t="s">
        <v>23</v>
      </c>
      <c r="G250" s="113">
        <v>369.7</v>
      </c>
    </row>
    <row r="251" spans="1:7" x14ac:dyDescent="0.2">
      <c r="A251" s="110"/>
      <c r="B251" s="111"/>
      <c r="C251" s="111"/>
      <c r="D251" s="112"/>
      <c r="E251" s="111">
        <v>30</v>
      </c>
      <c r="F251" s="115" t="s">
        <v>23</v>
      </c>
      <c r="G251" s="113">
        <v>349.2</v>
      </c>
    </row>
    <row r="252" spans="1:7" x14ac:dyDescent="0.2">
      <c r="A252" s="122">
        <v>1460</v>
      </c>
      <c r="B252" s="123" t="s">
        <v>194</v>
      </c>
      <c r="C252" s="123"/>
      <c r="D252" s="138" t="s">
        <v>193</v>
      </c>
      <c r="E252" s="123">
        <v>1</v>
      </c>
      <c r="F252" s="128" t="s">
        <v>23</v>
      </c>
      <c r="G252" s="132">
        <v>410.8</v>
      </c>
    </row>
    <row r="253" spans="1:7" x14ac:dyDescent="0.2">
      <c r="A253" s="122"/>
      <c r="B253" s="123"/>
      <c r="C253" s="123"/>
      <c r="D253" s="138"/>
      <c r="E253" s="123">
        <v>10</v>
      </c>
      <c r="F253" s="128" t="s">
        <v>23</v>
      </c>
      <c r="G253" s="132">
        <v>390.3</v>
      </c>
    </row>
    <row r="254" spans="1:7" x14ac:dyDescent="0.2">
      <c r="A254" s="122"/>
      <c r="B254" s="123"/>
      <c r="C254" s="123"/>
      <c r="D254" s="138"/>
      <c r="E254" s="123">
        <v>20</v>
      </c>
      <c r="F254" s="128" t="s">
        <v>23</v>
      </c>
      <c r="G254" s="132">
        <v>369.7</v>
      </c>
    </row>
    <row r="255" spans="1:7" x14ac:dyDescent="0.2">
      <c r="A255" s="122"/>
      <c r="B255" s="123"/>
      <c r="C255" s="123"/>
      <c r="D255" s="138"/>
      <c r="E255" s="123">
        <v>30</v>
      </c>
      <c r="F255" s="128" t="s">
        <v>23</v>
      </c>
      <c r="G255" s="132">
        <v>349.2</v>
      </c>
    </row>
    <row r="257" spans="1:7" ht="15" x14ac:dyDescent="0.2">
      <c r="A257" s="145" t="s">
        <v>195</v>
      </c>
      <c r="B257" s="57"/>
      <c r="C257" s="57"/>
      <c r="D257" s="59"/>
      <c r="E257" s="59"/>
      <c r="F257" s="145"/>
      <c r="G257" s="57"/>
    </row>
    <row r="258" spans="1:7" x14ac:dyDescent="0.2">
      <c r="A258" s="12" t="s">
        <v>1</v>
      </c>
      <c r="B258" s="11" t="s">
        <v>2</v>
      </c>
      <c r="C258" s="12"/>
      <c r="D258" s="12" t="s">
        <v>116</v>
      </c>
      <c r="E258" s="11" t="s">
        <v>4</v>
      </c>
      <c r="F258" s="12"/>
      <c r="G258" s="11" t="s">
        <v>5</v>
      </c>
    </row>
    <row r="259" spans="1:7" x14ac:dyDescent="0.2">
      <c r="A259" s="110">
        <v>1451</v>
      </c>
      <c r="B259" s="111" t="s">
        <v>150</v>
      </c>
      <c r="C259" s="111"/>
      <c r="D259" s="112" t="s">
        <v>195</v>
      </c>
      <c r="E259" s="111">
        <v>1</v>
      </c>
      <c r="F259" s="115" t="s">
        <v>23</v>
      </c>
      <c r="G259" s="113">
        <v>447.7</v>
      </c>
    </row>
    <row r="260" spans="1:7" x14ac:dyDescent="0.2">
      <c r="A260" s="110"/>
      <c r="B260" s="111"/>
      <c r="C260" s="111"/>
      <c r="D260" s="112"/>
      <c r="E260" s="111">
        <v>10</v>
      </c>
      <c r="F260" s="115" t="s">
        <v>23</v>
      </c>
      <c r="G260" s="113">
        <v>425.4</v>
      </c>
    </row>
    <row r="261" spans="1:7" x14ac:dyDescent="0.2">
      <c r="A261" s="110"/>
      <c r="B261" s="111"/>
      <c r="C261" s="111"/>
      <c r="D261" s="112"/>
      <c r="E261" s="111">
        <v>20</v>
      </c>
      <c r="F261" s="115" t="s">
        <v>23</v>
      </c>
      <c r="G261" s="113">
        <v>403</v>
      </c>
    </row>
    <row r="262" spans="1:7" x14ac:dyDescent="0.2">
      <c r="A262" s="110"/>
      <c r="B262" s="111"/>
      <c r="C262" s="111"/>
      <c r="D262" s="112"/>
      <c r="E262" s="111">
        <v>30</v>
      </c>
      <c r="F262" s="115" t="s">
        <v>23</v>
      </c>
      <c r="G262" s="113">
        <v>380.6</v>
      </c>
    </row>
    <row r="263" spans="1:7" x14ac:dyDescent="0.2">
      <c r="A263" s="122">
        <v>1452</v>
      </c>
      <c r="B263" s="123" t="s">
        <v>155</v>
      </c>
      <c r="C263" s="123"/>
      <c r="D263" s="138" t="s">
        <v>195</v>
      </c>
      <c r="E263" s="123">
        <v>1</v>
      </c>
      <c r="F263" s="128" t="s">
        <v>23</v>
      </c>
      <c r="G263" s="132">
        <v>474.2</v>
      </c>
    </row>
    <row r="264" spans="1:7" x14ac:dyDescent="0.2">
      <c r="A264" s="122"/>
      <c r="B264" s="123"/>
      <c r="C264" s="123"/>
      <c r="D264" s="138"/>
      <c r="E264" s="123">
        <v>10</v>
      </c>
      <c r="F264" s="128" t="s">
        <v>23</v>
      </c>
      <c r="G264" s="132">
        <v>450.5</v>
      </c>
    </row>
    <row r="265" spans="1:7" x14ac:dyDescent="0.2">
      <c r="A265" s="122"/>
      <c r="B265" s="123"/>
      <c r="C265" s="123"/>
      <c r="D265" s="138"/>
      <c r="E265" s="123">
        <v>20</v>
      </c>
      <c r="F265" s="128" t="s">
        <v>23</v>
      </c>
      <c r="G265" s="132">
        <v>426.7</v>
      </c>
    </row>
    <row r="266" spans="1:7" x14ac:dyDescent="0.2">
      <c r="A266" s="122"/>
      <c r="B266" s="123"/>
      <c r="C266" s="123"/>
      <c r="D266" s="138"/>
      <c r="E266" s="123">
        <v>30</v>
      </c>
      <c r="F266" s="128" t="s">
        <v>23</v>
      </c>
      <c r="G266" s="132">
        <v>403</v>
      </c>
    </row>
    <row r="267" spans="1:7" x14ac:dyDescent="0.2">
      <c r="A267" s="3"/>
      <c r="B267" s="2"/>
      <c r="C267" s="2"/>
      <c r="E267" s="2"/>
      <c r="F267" s="151"/>
      <c r="G267" s="6"/>
    </row>
    <row r="268" spans="1:7" ht="15" x14ac:dyDescent="0.2">
      <c r="A268" s="145" t="s">
        <v>196</v>
      </c>
      <c r="B268" s="57"/>
      <c r="C268" s="57"/>
      <c r="D268" s="59"/>
      <c r="E268" s="59"/>
      <c r="F268" s="145"/>
      <c r="G268" s="57"/>
    </row>
    <row r="269" spans="1:7" x14ac:dyDescent="0.2">
      <c r="A269" s="12" t="s">
        <v>1</v>
      </c>
      <c r="B269" s="11" t="s">
        <v>2</v>
      </c>
      <c r="C269" s="12"/>
      <c r="D269" s="71" t="s">
        <v>116</v>
      </c>
      <c r="E269" s="12" t="s">
        <v>4</v>
      </c>
      <c r="F269" s="12"/>
      <c r="G269" s="11" t="s">
        <v>5</v>
      </c>
    </row>
    <row r="270" spans="1:7" x14ac:dyDescent="0.2">
      <c r="A270" s="110">
        <v>1477</v>
      </c>
      <c r="B270" s="111" t="s">
        <v>117</v>
      </c>
      <c r="C270" s="111"/>
      <c r="D270" s="112" t="s">
        <v>196</v>
      </c>
      <c r="E270" s="111">
        <v>1</v>
      </c>
      <c r="F270" s="115" t="s">
        <v>23</v>
      </c>
      <c r="G270" s="113">
        <v>383.8</v>
      </c>
    </row>
    <row r="271" spans="1:7" x14ac:dyDescent="0.2">
      <c r="A271" s="110"/>
      <c r="B271" s="111"/>
      <c r="C271" s="111"/>
      <c r="D271" s="112"/>
      <c r="E271" s="111">
        <v>10</v>
      </c>
      <c r="F271" s="115" t="s">
        <v>23</v>
      </c>
      <c r="G271" s="113">
        <v>364.6</v>
      </c>
    </row>
    <row r="272" spans="1:7" x14ac:dyDescent="0.2">
      <c r="A272" s="110"/>
      <c r="B272" s="111"/>
      <c r="C272" s="111"/>
      <c r="D272" s="112"/>
      <c r="E272" s="111">
        <v>20</v>
      </c>
      <c r="F272" s="115" t="s">
        <v>23</v>
      </c>
      <c r="G272" s="113">
        <v>345.5</v>
      </c>
    </row>
    <row r="273" spans="1:7" x14ac:dyDescent="0.2">
      <c r="A273" s="110"/>
      <c r="B273" s="111"/>
      <c r="C273" s="111"/>
      <c r="D273" s="112"/>
      <c r="E273" s="111">
        <v>30</v>
      </c>
      <c r="F273" s="115" t="s">
        <v>23</v>
      </c>
      <c r="G273" s="113">
        <v>326.3</v>
      </c>
    </row>
    <row r="274" spans="1:7" x14ac:dyDescent="0.2">
      <c r="A274" s="122">
        <v>1478</v>
      </c>
      <c r="B274" s="123" t="s">
        <v>150</v>
      </c>
      <c r="C274" s="123"/>
      <c r="D274" s="138" t="s">
        <v>196</v>
      </c>
      <c r="E274" s="123">
        <v>1</v>
      </c>
      <c r="F274" s="128" t="s">
        <v>23</v>
      </c>
      <c r="G274" s="132">
        <v>398</v>
      </c>
    </row>
    <row r="275" spans="1:7" x14ac:dyDescent="0.2">
      <c r="A275" s="122"/>
      <c r="B275" s="123"/>
      <c r="C275" s="123"/>
      <c r="D275" s="138"/>
      <c r="E275" s="123">
        <v>10</v>
      </c>
      <c r="F275" s="128" t="s">
        <v>23</v>
      </c>
      <c r="G275" s="132">
        <v>378.1</v>
      </c>
    </row>
    <row r="276" spans="1:7" x14ac:dyDescent="0.2">
      <c r="A276" s="122"/>
      <c r="B276" s="123"/>
      <c r="C276" s="123"/>
      <c r="D276" s="138"/>
      <c r="E276" s="123">
        <v>20</v>
      </c>
      <c r="F276" s="128" t="s">
        <v>23</v>
      </c>
      <c r="G276" s="132">
        <v>358.2</v>
      </c>
    </row>
    <row r="277" spans="1:7" x14ac:dyDescent="0.2">
      <c r="A277" s="122"/>
      <c r="B277" s="123"/>
      <c r="C277" s="123"/>
      <c r="D277" s="138"/>
      <c r="E277" s="123">
        <v>30</v>
      </c>
      <c r="F277" s="128" t="s">
        <v>23</v>
      </c>
      <c r="G277" s="132">
        <v>338.3</v>
      </c>
    </row>
    <row r="278" spans="1:7" x14ac:dyDescent="0.2">
      <c r="A278" s="110">
        <v>1479</v>
      </c>
      <c r="B278" s="111" t="s">
        <v>155</v>
      </c>
      <c r="C278" s="111"/>
      <c r="D278" s="112" t="s">
        <v>196</v>
      </c>
      <c r="E278" s="111">
        <v>1</v>
      </c>
      <c r="F278" s="115" t="s">
        <v>23</v>
      </c>
      <c r="G278" s="113">
        <v>416.3</v>
      </c>
    </row>
    <row r="279" spans="1:7" x14ac:dyDescent="0.2">
      <c r="A279" s="110"/>
      <c r="B279" s="111"/>
      <c r="C279" s="111"/>
      <c r="D279" s="112"/>
      <c r="E279" s="111">
        <v>10</v>
      </c>
      <c r="F279" s="115" t="s">
        <v>23</v>
      </c>
      <c r="G279" s="113">
        <v>395.5</v>
      </c>
    </row>
    <row r="280" spans="1:7" x14ac:dyDescent="0.2">
      <c r="A280" s="110"/>
      <c r="B280" s="111"/>
      <c r="C280" s="111"/>
      <c r="D280" s="112"/>
      <c r="E280" s="111">
        <v>20</v>
      </c>
      <c r="F280" s="115" t="s">
        <v>23</v>
      </c>
      <c r="G280" s="113">
        <v>374.7</v>
      </c>
    </row>
    <row r="281" spans="1:7" x14ac:dyDescent="0.2">
      <c r="A281" s="110"/>
      <c r="B281" s="111"/>
      <c r="C281" s="111"/>
      <c r="D281" s="112"/>
      <c r="E281" s="111">
        <v>30</v>
      </c>
      <c r="F281" s="115" t="s">
        <v>23</v>
      </c>
      <c r="G281" s="113">
        <v>353.8</v>
      </c>
    </row>
    <row r="282" spans="1:7" ht="9.75" customHeight="1" x14ac:dyDescent="0.2"/>
    <row r="283" spans="1:7" ht="15" x14ac:dyDescent="0.2">
      <c r="A283" s="145" t="s">
        <v>197</v>
      </c>
      <c r="B283" s="57"/>
      <c r="C283" s="57"/>
      <c r="D283" s="59"/>
      <c r="E283" s="59"/>
      <c r="F283" s="145"/>
      <c r="G283" s="57"/>
    </row>
    <row r="284" spans="1:7" x14ac:dyDescent="0.2">
      <c r="A284" s="12" t="s">
        <v>1</v>
      </c>
      <c r="B284" s="11" t="s">
        <v>2</v>
      </c>
      <c r="C284" s="12"/>
      <c r="D284" s="12" t="s">
        <v>116</v>
      </c>
      <c r="E284" s="11" t="s">
        <v>4</v>
      </c>
      <c r="F284" s="12"/>
      <c r="G284" s="11" t="s">
        <v>5</v>
      </c>
    </row>
    <row r="285" spans="1:7" x14ac:dyDescent="0.2">
      <c r="A285" s="110">
        <v>1461</v>
      </c>
      <c r="B285" s="111" t="s">
        <v>117</v>
      </c>
      <c r="C285" s="111"/>
      <c r="D285" s="112" t="s">
        <v>197</v>
      </c>
      <c r="E285" s="111">
        <v>1</v>
      </c>
      <c r="F285" s="115" t="s">
        <v>23</v>
      </c>
      <c r="G285" s="113">
        <v>351.5</v>
      </c>
    </row>
    <row r="286" spans="1:7" x14ac:dyDescent="0.2">
      <c r="A286" s="110"/>
      <c r="B286" s="111"/>
      <c r="C286" s="111"/>
      <c r="D286" s="112"/>
      <c r="E286" s="111">
        <v>10</v>
      </c>
      <c r="F286" s="115" t="s">
        <v>23</v>
      </c>
      <c r="G286" s="113">
        <v>334</v>
      </c>
    </row>
    <row r="287" spans="1:7" x14ac:dyDescent="0.2">
      <c r="A287" s="110"/>
      <c r="B287" s="111"/>
      <c r="C287" s="111"/>
      <c r="D287" s="112"/>
      <c r="E287" s="111">
        <v>20</v>
      </c>
      <c r="F287" s="115" t="s">
        <v>23</v>
      </c>
      <c r="G287" s="113">
        <v>316.39999999999998</v>
      </c>
    </row>
    <row r="288" spans="1:7" x14ac:dyDescent="0.2">
      <c r="A288" s="110"/>
      <c r="B288" s="111"/>
      <c r="C288" s="111"/>
      <c r="D288" s="112"/>
      <c r="E288" s="111">
        <v>30</v>
      </c>
      <c r="F288" s="115" t="s">
        <v>23</v>
      </c>
      <c r="G288" s="113">
        <v>298.8</v>
      </c>
    </row>
    <row r="289" spans="1:7" x14ac:dyDescent="0.2">
      <c r="A289" s="122">
        <v>1462</v>
      </c>
      <c r="B289" s="123" t="s">
        <v>119</v>
      </c>
      <c r="C289" s="123"/>
      <c r="D289" s="138" t="s">
        <v>197</v>
      </c>
      <c r="E289" s="123">
        <v>1</v>
      </c>
      <c r="F289" s="128"/>
      <c r="G289" s="132">
        <v>369.4</v>
      </c>
    </row>
    <row r="290" spans="1:7" x14ac:dyDescent="0.2">
      <c r="A290" s="122"/>
      <c r="B290" s="123"/>
      <c r="C290" s="123"/>
      <c r="D290" s="138"/>
      <c r="E290" s="123">
        <v>10</v>
      </c>
      <c r="F290" s="128" t="s">
        <v>23</v>
      </c>
      <c r="G290" s="132">
        <v>350.9</v>
      </c>
    </row>
    <row r="291" spans="1:7" x14ac:dyDescent="0.2">
      <c r="A291" s="122"/>
      <c r="B291" s="123"/>
      <c r="C291" s="123"/>
      <c r="D291" s="138"/>
      <c r="E291" s="123">
        <v>20</v>
      </c>
      <c r="F291" s="128" t="s">
        <v>23</v>
      </c>
      <c r="G291" s="132">
        <v>332.4</v>
      </c>
    </row>
    <row r="292" spans="1:7" x14ac:dyDescent="0.2">
      <c r="A292" s="122"/>
      <c r="B292" s="123"/>
      <c r="C292" s="123"/>
      <c r="D292" s="138"/>
      <c r="E292" s="123">
        <v>30</v>
      </c>
      <c r="F292" s="128" t="s">
        <v>23</v>
      </c>
      <c r="G292" s="132">
        <v>314</v>
      </c>
    </row>
    <row r="293" spans="1:7" x14ac:dyDescent="0.2">
      <c r="B293" s="2"/>
      <c r="C293" s="3"/>
      <c r="D293" s="2"/>
      <c r="E293" s="2"/>
      <c r="G293" s="2"/>
    </row>
    <row r="294" spans="1:7" ht="15" x14ac:dyDescent="0.2">
      <c r="A294" s="146" t="s">
        <v>198</v>
      </c>
      <c r="B294" s="147"/>
      <c r="C294" s="147"/>
      <c r="D294" s="148"/>
      <c r="E294" s="148"/>
      <c r="F294" s="146"/>
      <c r="G294" s="147"/>
    </row>
    <row r="295" spans="1:7" x14ac:dyDescent="0.2">
      <c r="A295" s="12" t="s">
        <v>1</v>
      </c>
      <c r="B295" s="11" t="s">
        <v>2</v>
      </c>
      <c r="C295" s="12"/>
      <c r="D295" s="71" t="s">
        <v>116</v>
      </c>
      <c r="E295" s="12" t="s">
        <v>4</v>
      </c>
      <c r="F295" s="12"/>
      <c r="G295" s="11" t="s">
        <v>5</v>
      </c>
    </row>
    <row r="296" spans="1:7" x14ac:dyDescent="0.2">
      <c r="A296" s="110">
        <v>4419</v>
      </c>
      <c r="B296" s="111" t="s">
        <v>117</v>
      </c>
      <c r="C296" s="111"/>
      <c r="D296" s="112" t="s">
        <v>199</v>
      </c>
      <c r="E296" s="111">
        <v>1</v>
      </c>
      <c r="F296" s="110"/>
      <c r="G296" s="113">
        <v>33.9</v>
      </c>
    </row>
    <row r="297" spans="1:7" x14ac:dyDescent="0.2">
      <c r="A297" s="110"/>
      <c r="B297" s="111"/>
      <c r="C297" s="111"/>
      <c r="D297" s="112"/>
      <c r="E297" s="111">
        <v>10</v>
      </c>
      <c r="F297" s="115" t="s">
        <v>23</v>
      </c>
      <c r="G297" s="113">
        <v>32.200000000000003</v>
      </c>
    </row>
    <row r="298" spans="1:7" x14ac:dyDescent="0.2">
      <c r="A298" s="110"/>
      <c r="B298" s="111"/>
      <c r="C298" s="111"/>
      <c r="D298" s="112"/>
      <c r="E298" s="111">
        <v>20</v>
      </c>
      <c r="F298" s="115" t="s">
        <v>23</v>
      </c>
      <c r="G298" s="113">
        <v>30.5</v>
      </c>
    </row>
    <row r="299" spans="1:7" x14ac:dyDescent="0.2">
      <c r="A299" s="110"/>
      <c r="B299" s="111"/>
      <c r="C299" s="111"/>
      <c r="D299" s="112"/>
      <c r="E299" s="111">
        <v>30</v>
      </c>
      <c r="F299" s="115" t="s">
        <v>23</v>
      </c>
      <c r="G299" s="113">
        <v>28.8</v>
      </c>
    </row>
    <row r="300" spans="1:7" x14ac:dyDescent="0.2">
      <c r="A300" s="122">
        <v>4210</v>
      </c>
      <c r="B300" s="123" t="s">
        <v>117</v>
      </c>
      <c r="C300" s="123"/>
      <c r="D300" s="138" t="s">
        <v>200</v>
      </c>
      <c r="E300" s="123">
        <v>1</v>
      </c>
      <c r="F300" s="122"/>
      <c r="G300" s="132">
        <v>41.3</v>
      </c>
    </row>
    <row r="301" spans="1:7" x14ac:dyDescent="0.2">
      <c r="A301" s="122"/>
      <c r="B301" s="123"/>
      <c r="C301" s="123"/>
      <c r="D301" s="138"/>
      <c r="E301" s="123">
        <v>10</v>
      </c>
      <c r="F301" s="200" t="s">
        <v>23</v>
      </c>
      <c r="G301" s="132">
        <v>39.299999999999997</v>
      </c>
    </row>
    <row r="302" spans="1:7" x14ac:dyDescent="0.2">
      <c r="A302" s="122"/>
      <c r="B302" s="123"/>
      <c r="C302" s="123"/>
      <c r="D302" s="138"/>
      <c r="E302" s="123">
        <v>20</v>
      </c>
      <c r="F302" s="200" t="s">
        <v>23</v>
      </c>
      <c r="G302" s="132">
        <v>37.200000000000003</v>
      </c>
    </row>
    <row r="303" spans="1:7" x14ac:dyDescent="0.2">
      <c r="A303" s="122"/>
      <c r="B303" s="123"/>
      <c r="C303" s="123"/>
      <c r="D303" s="138"/>
      <c r="E303" s="123">
        <v>30</v>
      </c>
      <c r="F303" s="200" t="s">
        <v>23</v>
      </c>
      <c r="G303" s="132">
        <v>35.1</v>
      </c>
    </row>
    <row r="304" spans="1:7" x14ac:dyDescent="0.2">
      <c r="A304" s="3"/>
      <c r="B304" s="2"/>
      <c r="C304" s="2"/>
      <c r="F304" s="3"/>
      <c r="G304" s="6"/>
    </row>
    <row r="305" spans="1:7" ht="15" x14ac:dyDescent="0.2">
      <c r="A305" s="146" t="s">
        <v>201</v>
      </c>
      <c r="B305" s="147"/>
      <c r="C305" s="147"/>
      <c r="D305" s="148"/>
      <c r="E305" s="148"/>
      <c r="F305" s="146"/>
      <c r="G305" s="147"/>
    </row>
    <row r="306" spans="1:7" x14ac:dyDescent="0.2">
      <c r="A306" s="12" t="s">
        <v>1</v>
      </c>
      <c r="B306" s="11" t="s">
        <v>2</v>
      </c>
      <c r="C306" s="12"/>
      <c r="D306" s="71" t="s">
        <v>116</v>
      </c>
      <c r="E306" s="12" t="s">
        <v>4</v>
      </c>
      <c r="F306" s="12"/>
      <c r="G306" s="11" t="s">
        <v>5</v>
      </c>
    </row>
    <row r="307" spans="1:7" x14ac:dyDescent="0.2">
      <c r="A307" s="110">
        <v>4201</v>
      </c>
      <c r="B307" s="111" t="s">
        <v>119</v>
      </c>
      <c r="C307" s="111"/>
      <c r="D307" s="112" t="s">
        <v>199</v>
      </c>
      <c r="E307" s="111">
        <v>1</v>
      </c>
      <c r="F307" s="115"/>
      <c r="G307" s="113">
        <v>44.8</v>
      </c>
    </row>
    <row r="308" spans="1:7" x14ac:dyDescent="0.2">
      <c r="A308" s="110"/>
      <c r="B308" s="111"/>
      <c r="C308" s="111"/>
      <c r="D308" s="112"/>
      <c r="E308" s="111">
        <v>10</v>
      </c>
      <c r="F308" s="115"/>
      <c r="G308" s="113">
        <v>42.5</v>
      </c>
    </row>
    <row r="309" spans="1:7" x14ac:dyDescent="0.2">
      <c r="A309" s="110"/>
      <c r="B309" s="111"/>
      <c r="C309" s="111"/>
      <c r="D309" s="112"/>
      <c r="E309" s="111">
        <v>20</v>
      </c>
      <c r="F309" s="115"/>
      <c r="G309" s="113">
        <v>40.299999999999997</v>
      </c>
    </row>
    <row r="310" spans="1:7" x14ac:dyDescent="0.2">
      <c r="A310" s="110"/>
      <c r="B310" s="111"/>
      <c r="C310" s="111"/>
      <c r="D310" s="112"/>
      <c r="E310" s="111">
        <v>30</v>
      </c>
      <c r="F310" s="115"/>
      <c r="G310" s="113">
        <v>38</v>
      </c>
    </row>
    <row r="311" spans="1:7" x14ac:dyDescent="0.2">
      <c r="A311" s="122">
        <v>4202</v>
      </c>
      <c r="B311" s="123" t="s">
        <v>119</v>
      </c>
      <c r="C311" s="123"/>
      <c r="D311" s="138" t="s">
        <v>202</v>
      </c>
      <c r="E311" s="123">
        <v>1</v>
      </c>
      <c r="F311" s="128"/>
      <c r="G311" s="132">
        <v>48.1</v>
      </c>
    </row>
    <row r="312" spans="1:7" x14ac:dyDescent="0.2">
      <c r="A312" s="122"/>
      <c r="B312" s="123"/>
      <c r="C312" s="123"/>
      <c r="D312" s="138"/>
      <c r="E312" s="123">
        <v>10</v>
      </c>
      <c r="F312" s="128"/>
      <c r="G312" s="132">
        <v>45.7</v>
      </c>
    </row>
    <row r="313" spans="1:7" x14ac:dyDescent="0.2">
      <c r="A313" s="122"/>
      <c r="B313" s="123"/>
      <c r="C313" s="123"/>
      <c r="D313" s="138"/>
      <c r="E313" s="123">
        <v>20</v>
      </c>
      <c r="F313" s="128"/>
      <c r="G313" s="132">
        <v>43.3</v>
      </c>
    </row>
    <row r="314" spans="1:7" x14ac:dyDescent="0.2">
      <c r="A314" s="122"/>
      <c r="B314" s="123"/>
      <c r="C314" s="123"/>
      <c r="D314" s="138"/>
      <c r="E314" s="123">
        <v>30</v>
      </c>
      <c r="F314" s="128"/>
      <c r="G314" s="132">
        <v>40.9</v>
      </c>
    </row>
    <row r="315" spans="1:7" x14ac:dyDescent="0.2">
      <c r="A315" s="110">
        <v>4203</v>
      </c>
      <c r="B315" s="111" t="s">
        <v>119</v>
      </c>
      <c r="C315" s="111"/>
      <c r="D315" s="112" t="s">
        <v>203</v>
      </c>
      <c r="E315" s="111">
        <v>1</v>
      </c>
      <c r="F315" s="115"/>
      <c r="G315" s="113">
        <v>48</v>
      </c>
    </row>
    <row r="316" spans="1:7" x14ac:dyDescent="0.2">
      <c r="A316" s="110"/>
      <c r="B316" s="111"/>
      <c r="C316" s="111"/>
      <c r="D316" s="112"/>
      <c r="E316" s="111">
        <v>10</v>
      </c>
      <c r="F316" s="115"/>
      <c r="G316" s="113">
        <v>45.6</v>
      </c>
    </row>
    <row r="317" spans="1:7" x14ac:dyDescent="0.2">
      <c r="A317" s="110"/>
      <c r="B317" s="111"/>
      <c r="C317" s="111"/>
      <c r="D317" s="112"/>
      <c r="E317" s="111">
        <v>20</v>
      </c>
      <c r="F317" s="115"/>
      <c r="G317" s="113">
        <v>43.2</v>
      </c>
    </row>
    <row r="318" spans="1:7" x14ac:dyDescent="0.2">
      <c r="A318" s="110"/>
      <c r="B318" s="111"/>
      <c r="C318" s="111"/>
      <c r="D318" s="112"/>
      <c r="E318" s="111">
        <v>30</v>
      </c>
      <c r="F318" s="115"/>
      <c r="G318" s="113">
        <v>40.799999999999997</v>
      </c>
    </row>
    <row r="319" spans="1:7" ht="9.75" customHeight="1" x14ac:dyDescent="0.2">
      <c r="A319" s="122">
        <v>4207</v>
      </c>
      <c r="B319" s="123" t="s">
        <v>119</v>
      </c>
      <c r="C319" s="123"/>
      <c r="D319" s="138" t="s">
        <v>204</v>
      </c>
      <c r="E319" s="123">
        <v>1</v>
      </c>
      <c r="F319" s="122"/>
      <c r="G319" s="132">
        <v>49</v>
      </c>
    </row>
    <row r="320" spans="1:7" x14ac:dyDescent="0.2">
      <c r="A320" s="122"/>
      <c r="B320" s="123"/>
      <c r="C320" s="123"/>
      <c r="D320" s="138"/>
      <c r="E320" s="123">
        <v>10</v>
      </c>
      <c r="F320" s="122"/>
      <c r="G320" s="132">
        <v>46.5</v>
      </c>
    </row>
    <row r="321" spans="1:7" x14ac:dyDescent="0.2">
      <c r="A321" s="122"/>
      <c r="B321" s="123"/>
      <c r="C321" s="123"/>
      <c r="D321" s="138"/>
      <c r="E321" s="123">
        <v>20</v>
      </c>
      <c r="F321" s="122"/>
      <c r="G321" s="132">
        <v>44.1</v>
      </c>
    </row>
    <row r="322" spans="1:7" x14ac:dyDescent="0.2">
      <c r="A322" s="122"/>
      <c r="B322" s="123"/>
      <c r="C322" s="123"/>
      <c r="D322" s="138"/>
      <c r="E322" s="123">
        <v>30</v>
      </c>
      <c r="F322" s="122"/>
      <c r="G322" s="132">
        <v>41.6</v>
      </c>
    </row>
    <row r="323" spans="1:7" x14ac:dyDescent="0.2">
      <c r="A323" s="110">
        <v>4206</v>
      </c>
      <c r="B323" s="111" t="s">
        <v>119</v>
      </c>
      <c r="C323" s="111"/>
      <c r="D323" s="112" t="s">
        <v>205</v>
      </c>
      <c r="E323" s="111">
        <v>1</v>
      </c>
      <c r="F323" s="110"/>
      <c r="G323" s="113">
        <v>73.099999999999994</v>
      </c>
    </row>
    <row r="324" spans="1:7" x14ac:dyDescent="0.2">
      <c r="A324" s="110"/>
      <c r="B324" s="111"/>
      <c r="C324" s="111"/>
      <c r="D324" s="112"/>
      <c r="E324" s="111">
        <v>10</v>
      </c>
      <c r="F324" s="110"/>
      <c r="G324" s="113">
        <v>69.5</v>
      </c>
    </row>
    <row r="325" spans="1:7" x14ac:dyDescent="0.2">
      <c r="A325" s="110"/>
      <c r="B325" s="111"/>
      <c r="C325" s="111"/>
      <c r="D325" s="112"/>
      <c r="E325" s="111">
        <v>20</v>
      </c>
      <c r="F325" s="110"/>
      <c r="G325" s="113">
        <v>65.8</v>
      </c>
    </row>
    <row r="326" spans="1:7" x14ac:dyDescent="0.2">
      <c r="A326" s="110"/>
      <c r="B326" s="111"/>
      <c r="C326" s="111"/>
      <c r="D326" s="112"/>
      <c r="E326" s="111">
        <v>30</v>
      </c>
      <c r="F326" s="110"/>
      <c r="G326" s="113">
        <v>62.2</v>
      </c>
    </row>
    <row r="327" spans="1:7" x14ac:dyDescent="0.2">
      <c r="A327" s="122">
        <v>4209</v>
      </c>
      <c r="B327" s="123" t="s">
        <v>119</v>
      </c>
      <c r="C327" s="123"/>
      <c r="D327" s="138" t="s">
        <v>206</v>
      </c>
      <c r="E327" s="123">
        <v>1</v>
      </c>
      <c r="F327" s="122"/>
      <c r="G327" s="132">
        <v>53.6</v>
      </c>
    </row>
    <row r="328" spans="1:7" x14ac:dyDescent="0.2">
      <c r="A328" s="122"/>
      <c r="B328" s="123"/>
      <c r="C328" s="123"/>
      <c r="D328" s="138"/>
      <c r="E328" s="123">
        <v>10</v>
      </c>
      <c r="F328" s="122"/>
      <c r="G328" s="132">
        <v>51</v>
      </c>
    </row>
    <row r="329" spans="1:7" x14ac:dyDescent="0.2">
      <c r="A329" s="122"/>
      <c r="B329" s="123"/>
      <c r="C329" s="123"/>
      <c r="D329" s="138"/>
      <c r="E329" s="123">
        <v>20</v>
      </c>
      <c r="F329" s="122"/>
      <c r="G329" s="132">
        <v>48.3</v>
      </c>
    </row>
    <row r="330" spans="1:7" x14ac:dyDescent="0.2">
      <c r="A330" s="122"/>
      <c r="B330" s="123"/>
      <c r="C330" s="123"/>
      <c r="D330" s="138"/>
      <c r="E330" s="123">
        <v>30</v>
      </c>
      <c r="F330" s="122"/>
      <c r="G330" s="132">
        <v>45.6</v>
      </c>
    </row>
    <row r="331" spans="1:7" x14ac:dyDescent="0.2">
      <c r="A331" s="110">
        <v>4204</v>
      </c>
      <c r="B331" s="111" t="s">
        <v>119</v>
      </c>
      <c r="C331" s="111"/>
      <c r="D331" s="112" t="s">
        <v>207</v>
      </c>
      <c r="E331" s="111">
        <v>1</v>
      </c>
      <c r="F331" s="110"/>
      <c r="G331" s="113">
        <v>41.9</v>
      </c>
    </row>
    <row r="332" spans="1:7" x14ac:dyDescent="0.2">
      <c r="A332" s="110"/>
      <c r="B332" s="111"/>
      <c r="C332" s="111"/>
      <c r="D332" s="112"/>
      <c r="E332" s="111">
        <v>10</v>
      </c>
      <c r="F332" s="110"/>
      <c r="G332" s="113">
        <v>39.799999999999997</v>
      </c>
    </row>
    <row r="333" spans="1:7" x14ac:dyDescent="0.2">
      <c r="A333" s="110"/>
      <c r="B333" s="111"/>
      <c r="C333" s="111"/>
      <c r="D333" s="112"/>
      <c r="E333" s="111">
        <v>20</v>
      </c>
      <c r="F333" s="110"/>
      <c r="G333" s="113">
        <v>37.700000000000003</v>
      </c>
    </row>
    <row r="334" spans="1:7" x14ac:dyDescent="0.2">
      <c r="A334" s="110"/>
      <c r="B334" s="111"/>
      <c r="C334" s="111"/>
      <c r="D334" s="112"/>
      <c r="E334" s="111">
        <v>30</v>
      </c>
      <c r="F334" s="110"/>
      <c r="G334" s="113">
        <v>35.6</v>
      </c>
    </row>
    <row r="335" spans="1:7" x14ac:dyDescent="0.2">
      <c r="A335" s="122">
        <v>4205</v>
      </c>
      <c r="B335" s="123" t="s">
        <v>119</v>
      </c>
      <c r="C335" s="123"/>
      <c r="D335" s="138" t="s">
        <v>208</v>
      </c>
      <c r="E335" s="123">
        <v>1</v>
      </c>
      <c r="F335" s="122"/>
      <c r="G335" s="132">
        <v>66.7</v>
      </c>
    </row>
    <row r="336" spans="1:7" x14ac:dyDescent="0.2">
      <c r="A336" s="122"/>
      <c r="B336" s="123"/>
      <c r="C336" s="123"/>
      <c r="D336" s="138"/>
      <c r="E336" s="123">
        <v>10</v>
      </c>
      <c r="F336" s="122"/>
      <c r="G336" s="132">
        <v>63.4</v>
      </c>
    </row>
    <row r="337" spans="1:8" x14ac:dyDescent="0.2">
      <c r="A337" s="122"/>
      <c r="B337" s="123"/>
      <c r="C337" s="123"/>
      <c r="D337" s="138"/>
      <c r="E337" s="123">
        <v>20</v>
      </c>
      <c r="F337" s="122"/>
      <c r="G337" s="132">
        <v>60.1</v>
      </c>
    </row>
    <row r="338" spans="1:8" x14ac:dyDescent="0.2">
      <c r="A338" s="122"/>
      <c r="B338" s="123"/>
      <c r="C338" s="123"/>
      <c r="D338" s="138"/>
      <c r="E338" s="123">
        <v>30</v>
      </c>
      <c r="F338" s="122"/>
      <c r="G338" s="132">
        <v>56.7</v>
      </c>
    </row>
    <row r="339" spans="1:8" x14ac:dyDescent="0.2">
      <c r="A339" s="110">
        <v>4208</v>
      </c>
      <c r="B339" s="111" t="s">
        <v>119</v>
      </c>
      <c r="C339" s="111"/>
      <c r="D339" s="112" t="s">
        <v>200</v>
      </c>
      <c r="E339" s="111">
        <v>1</v>
      </c>
      <c r="F339" s="110"/>
      <c r="G339" s="113">
        <v>60.3</v>
      </c>
    </row>
    <row r="340" spans="1:8" x14ac:dyDescent="0.2">
      <c r="A340" s="110"/>
      <c r="B340" s="111"/>
      <c r="C340" s="111"/>
      <c r="D340" s="112"/>
      <c r="E340" s="111">
        <v>10</v>
      </c>
      <c r="F340" s="110"/>
      <c r="G340" s="113">
        <v>57.3</v>
      </c>
    </row>
    <row r="341" spans="1:8" x14ac:dyDescent="0.2">
      <c r="A341" s="110"/>
      <c r="B341" s="111"/>
      <c r="C341" s="111"/>
      <c r="D341" s="112"/>
      <c r="E341" s="111">
        <v>20</v>
      </c>
      <c r="F341" s="110"/>
      <c r="G341" s="113">
        <v>54.3</v>
      </c>
    </row>
    <row r="342" spans="1:8" x14ac:dyDescent="0.2">
      <c r="A342" s="110"/>
      <c r="B342" s="111"/>
      <c r="C342" s="111"/>
      <c r="D342" s="112"/>
      <c r="E342" s="111">
        <v>30</v>
      </c>
      <c r="F342" s="110"/>
      <c r="G342" s="113">
        <v>51.2</v>
      </c>
    </row>
    <row r="344" spans="1:8" ht="15" x14ac:dyDescent="0.2">
      <c r="A344" s="146" t="s">
        <v>209</v>
      </c>
      <c r="B344" s="147"/>
      <c r="C344" s="147"/>
      <c r="D344" s="148"/>
      <c r="E344" s="148"/>
      <c r="F344" s="146"/>
      <c r="G344" s="147"/>
    </row>
    <row r="345" spans="1:8" x14ac:dyDescent="0.2">
      <c r="A345" s="12" t="s">
        <v>1</v>
      </c>
      <c r="B345" s="11" t="s">
        <v>2</v>
      </c>
      <c r="C345" s="12"/>
      <c r="D345" s="71" t="s">
        <v>116</v>
      </c>
      <c r="E345" s="12" t="s">
        <v>4</v>
      </c>
      <c r="F345" s="12"/>
      <c r="G345" s="11" t="s">
        <v>5</v>
      </c>
    </row>
    <row r="346" spans="1:8" x14ac:dyDescent="0.2">
      <c r="A346" s="110">
        <v>4401</v>
      </c>
      <c r="B346" s="111" t="s">
        <v>139</v>
      </c>
      <c r="C346" s="111"/>
      <c r="D346" s="112" t="s">
        <v>199</v>
      </c>
      <c r="E346" s="111">
        <v>1</v>
      </c>
      <c r="F346" s="110"/>
      <c r="G346" s="113">
        <v>61.1</v>
      </c>
      <c r="H346" s="1"/>
    </row>
    <row r="347" spans="1:8" x14ac:dyDescent="0.2">
      <c r="A347" s="110"/>
      <c r="B347" s="111"/>
      <c r="C347" s="111"/>
      <c r="D347" s="112"/>
      <c r="E347" s="111">
        <v>10</v>
      </c>
      <c r="F347" s="110"/>
      <c r="G347" s="113">
        <v>58</v>
      </c>
      <c r="H347" s="1"/>
    </row>
    <row r="348" spans="1:8" x14ac:dyDescent="0.2">
      <c r="A348" s="110"/>
      <c r="B348" s="111"/>
      <c r="C348" s="111"/>
      <c r="D348" s="112"/>
      <c r="E348" s="111">
        <v>20</v>
      </c>
      <c r="F348" s="110"/>
      <c r="G348" s="113">
        <v>55</v>
      </c>
      <c r="H348" s="1"/>
    </row>
    <row r="349" spans="1:8" x14ac:dyDescent="0.2">
      <c r="A349" s="110"/>
      <c r="B349" s="111"/>
      <c r="C349" s="111"/>
      <c r="D349" s="112"/>
      <c r="E349" s="111">
        <v>30</v>
      </c>
      <c r="F349" s="110"/>
      <c r="G349" s="113">
        <v>51.9</v>
      </c>
      <c r="H349" s="1"/>
    </row>
    <row r="350" spans="1:8" x14ac:dyDescent="0.2">
      <c r="A350" s="122">
        <v>4402</v>
      </c>
      <c r="B350" s="123" t="s">
        <v>139</v>
      </c>
      <c r="C350" s="123"/>
      <c r="D350" s="138" t="s">
        <v>210</v>
      </c>
      <c r="E350" s="123">
        <v>1</v>
      </c>
      <c r="F350" s="122"/>
      <c r="G350" s="132">
        <v>61.1</v>
      </c>
      <c r="H350" s="1"/>
    </row>
    <row r="351" spans="1:8" x14ac:dyDescent="0.2">
      <c r="A351" s="122"/>
      <c r="B351" s="123"/>
      <c r="C351" s="123"/>
      <c r="D351" s="138"/>
      <c r="E351" s="123">
        <v>10</v>
      </c>
      <c r="F351" s="122"/>
      <c r="G351" s="132">
        <v>58</v>
      </c>
      <c r="H351" s="1"/>
    </row>
    <row r="352" spans="1:8" x14ac:dyDescent="0.2">
      <c r="A352" s="122"/>
      <c r="B352" s="123"/>
      <c r="C352" s="123"/>
      <c r="D352" s="138"/>
      <c r="E352" s="123">
        <v>20</v>
      </c>
      <c r="F352" s="122"/>
      <c r="G352" s="132">
        <v>55</v>
      </c>
      <c r="H352" s="1"/>
    </row>
    <row r="353" spans="1:8" x14ac:dyDescent="0.2">
      <c r="A353" s="122"/>
      <c r="B353" s="123"/>
      <c r="C353" s="123"/>
      <c r="D353" s="138"/>
      <c r="E353" s="123">
        <v>30</v>
      </c>
      <c r="F353" s="122"/>
      <c r="G353" s="132">
        <v>51.9</v>
      </c>
      <c r="H353" s="1"/>
    </row>
    <row r="354" spans="1:8" x14ac:dyDescent="0.2">
      <c r="A354" s="110">
        <v>4403</v>
      </c>
      <c r="B354" s="111" t="s">
        <v>139</v>
      </c>
      <c r="C354" s="111"/>
      <c r="D354" s="112" t="s">
        <v>203</v>
      </c>
      <c r="E354" s="111">
        <v>1</v>
      </c>
      <c r="F354" s="110"/>
      <c r="G354" s="113">
        <v>67.5</v>
      </c>
    </row>
    <row r="355" spans="1:8" x14ac:dyDescent="0.2">
      <c r="A355" s="110"/>
      <c r="B355" s="111"/>
      <c r="C355" s="111"/>
      <c r="D355" s="112"/>
      <c r="E355" s="111">
        <v>10</v>
      </c>
      <c r="F355" s="110"/>
      <c r="G355" s="113">
        <v>64.2</v>
      </c>
    </row>
    <row r="356" spans="1:8" x14ac:dyDescent="0.2">
      <c r="A356" s="110"/>
      <c r="B356" s="111"/>
      <c r="C356" s="111"/>
      <c r="D356" s="112"/>
      <c r="E356" s="111">
        <v>20</v>
      </c>
      <c r="F356" s="110"/>
      <c r="G356" s="113">
        <v>60.8</v>
      </c>
    </row>
    <row r="357" spans="1:8" x14ac:dyDescent="0.2">
      <c r="A357" s="110"/>
      <c r="B357" s="111"/>
      <c r="C357" s="111"/>
      <c r="D357" s="112"/>
      <c r="E357" s="111">
        <v>30</v>
      </c>
      <c r="F357" s="110"/>
      <c r="G357" s="113">
        <v>57.4</v>
      </c>
    </row>
    <row r="358" spans="1:8" x14ac:dyDescent="0.2">
      <c r="A358" s="122">
        <v>4407</v>
      </c>
      <c r="B358" s="123" t="s">
        <v>139</v>
      </c>
      <c r="C358" s="123"/>
      <c r="D358" s="138" t="s">
        <v>204</v>
      </c>
      <c r="E358" s="123">
        <v>1</v>
      </c>
      <c r="F358" s="122"/>
      <c r="G358" s="132">
        <v>69.599999999999994</v>
      </c>
    </row>
    <row r="359" spans="1:8" x14ac:dyDescent="0.2">
      <c r="A359" s="122"/>
      <c r="B359" s="123"/>
      <c r="C359" s="123"/>
      <c r="D359" s="138"/>
      <c r="E359" s="123">
        <v>10</v>
      </c>
      <c r="F359" s="122"/>
      <c r="G359" s="132">
        <v>66.099999999999994</v>
      </c>
    </row>
    <row r="360" spans="1:8" x14ac:dyDescent="0.2">
      <c r="A360" s="122"/>
      <c r="B360" s="123"/>
      <c r="C360" s="123"/>
      <c r="D360" s="138"/>
      <c r="E360" s="123">
        <v>20</v>
      </c>
      <c r="F360" s="122"/>
      <c r="G360" s="132">
        <v>62.6</v>
      </c>
    </row>
    <row r="361" spans="1:8" x14ac:dyDescent="0.2">
      <c r="A361" s="122"/>
      <c r="B361" s="123"/>
      <c r="C361" s="123"/>
      <c r="D361" s="138"/>
      <c r="E361" s="123">
        <v>30</v>
      </c>
      <c r="F361" s="122"/>
      <c r="G361" s="132">
        <v>59.1</v>
      </c>
    </row>
    <row r="362" spans="1:8" x14ac:dyDescent="0.2">
      <c r="A362" s="110">
        <v>4406</v>
      </c>
      <c r="B362" s="111" t="s">
        <v>139</v>
      </c>
      <c r="C362" s="111"/>
      <c r="D362" s="112" t="s">
        <v>205</v>
      </c>
      <c r="E362" s="111">
        <v>1</v>
      </c>
      <c r="F362" s="110"/>
      <c r="G362" s="113">
        <v>132</v>
      </c>
    </row>
    <row r="363" spans="1:8" x14ac:dyDescent="0.2">
      <c r="A363" s="110"/>
      <c r="B363" s="111"/>
      <c r="C363" s="111"/>
      <c r="D363" s="112"/>
      <c r="E363" s="111">
        <v>10</v>
      </c>
      <c r="F363" s="110"/>
      <c r="G363" s="113">
        <v>125.4</v>
      </c>
    </row>
    <row r="364" spans="1:8" x14ac:dyDescent="0.2">
      <c r="A364" s="110"/>
      <c r="B364" s="111"/>
      <c r="C364" s="111"/>
      <c r="D364" s="112"/>
      <c r="E364" s="111">
        <v>20</v>
      </c>
      <c r="F364" s="110"/>
      <c r="G364" s="113">
        <v>118.8</v>
      </c>
    </row>
    <row r="365" spans="1:8" x14ac:dyDescent="0.2">
      <c r="A365" s="110"/>
      <c r="B365" s="111"/>
      <c r="C365" s="111"/>
      <c r="D365" s="112"/>
      <c r="E365" s="111">
        <v>30</v>
      </c>
      <c r="F365" s="110"/>
      <c r="G365" s="113">
        <v>112.2</v>
      </c>
    </row>
    <row r="366" spans="1:8" x14ac:dyDescent="0.2">
      <c r="A366" s="122">
        <v>4418</v>
      </c>
      <c r="B366" s="123" t="s">
        <v>139</v>
      </c>
      <c r="C366" s="123"/>
      <c r="D366" s="138" t="s">
        <v>206</v>
      </c>
      <c r="E366" s="123">
        <v>1</v>
      </c>
      <c r="F366" s="122"/>
      <c r="G366" s="132">
        <v>78.900000000000006</v>
      </c>
    </row>
    <row r="367" spans="1:8" x14ac:dyDescent="0.2">
      <c r="A367" s="122"/>
      <c r="B367" s="123"/>
      <c r="C367" s="123"/>
      <c r="D367" s="138"/>
      <c r="E367" s="123">
        <v>10</v>
      </c>
      <c r="F367" s="122"/>
      <c r="G367" s="132">
        <v>74.900000000000006</v>
      </c>
    </row>
    <row r="368" spans="1:8" x14ac:dyDescent="0.2">
      <c r="A368" s="122"/>
      <c r="B368" s="123"/>
      <c r="C368" s="123"/>
      <c r="D368" s="138"/>
      <c r="E368" s="123">
        <v>20</v>
      </c>
      <c r="F368" s="122"/>
      <c r="G368" s="132">
        <v>71</v>
      </c>
    </row>
    <row r="369" spans="1:7" x14ac:dyDescent="0.2">
      <c r="A369" s="122"/>
      <c r="B369" s="123"/>
      <c r="C369" s="123"/>
      <c r="D369" s="138"/>
      <c r="E369" s="123">
        <v>30</v>
      </c>
      <c r="F369" s="122"/>
      <c r="G369" s="132">
        <v>67</v>
      </c>
    </row>
    <row r="370" spans="1:7" x14ac:dyDescent="0.2">
      <c r="A370" s="110">
        <v>4404</v>
      </c>
      <c r="B370" s="111" t="s">
        <v>139</v>
      </c>
      <c r="C370" s="111"/>
      <c r="D370" s="112" t="s">
        <v>207</v>
      </c>
      <c r="E370" s="111">
        <v>1</v>
      </c>
      <c r="F370" s="110"/>
      <c r="G370" s="113">
        <v>64.900000000000006</v>
      </c>
    </row>
    <row r="371" spans="1:7" x14ac:dyDescent="0.2">
      <c r="A371" s="110"/>
      <c r="B371" s="111"/>
      <c r="C371" s="111"/>
      <c r="D371" s="112"/>
      <c r="E371" s="111">
        <v>10</v>
      </c>
      <c r="F371" s="110"/>
      <c r="G371" s="113">
        <v>61.7</v>
      </c>
    </row>
    <row r="372" spans="1:7" x14ac:dyDescent="0.2">
      <c r="A372" s="110"/>
      <c r="B372" s="111"/>
      <c r="C372" s="111"/>
      <c r="D372" s="112"/>
      <c r="E372" s="111">
        <v>20</v>
      </c>
      <c r="F372" s="110"/>
      <c r="G372" s="113">
        <v>58.4</v>
      </c>
    </row>
    <row r="373" spans="1:7" x14ac:dyDescent="0.2">
      <c r="A373" s="110"/>
      <c r="B373" s="111"/>
      <c r="C373" s="111"/>
      <c r="D373" s="112"/>
      <c r="E373" s="111">
        <v>30</v>
      </c>
      <c r="F373" s="110"/>
      <c r="G373" s="113">
        <v>55.2</v>
      </c>
    </row>
    <row r="374" spans="1:7" x14ac:dyDescent="0.2">
      <c r="A374" s="122">
        <v>4405</v>
      </c>
      <c r="B374" s="123" t="s">
        <v>139</v>
      </c>
      <c r="C374" s="123"/>
      <c r="D374" s="138" t="s">
        <v>208</v>
      </c>
      <c r="E374" s="123">
        <v>1</v>
      </c>
      <c r="F374" s="122"/>
      <c r="G374" s="132">
        <v>105</v>
      </c>
    </row>
    <row r="375" spans="1:7" x14ac:dyDescent="0.2">
      <c r="A375" s="122"/>
      <c r="B375" s="123"/>
      <c r="C375" s="123"/>
      <c r="D375" s="138"/>
      <c r="E375" s="123">
        <v>10</v>
      </c>
      <c r="F375" s="122"/>
      <c r="G375" s="132">
        <v>99.8</v>
      </c>
    </row>
    <row r="376" spans="1:7" x14ac:dyDescent="0.2">
      <c r="A376" s="122"/>
      <c r="B376" s="123"/>
      <c r="C376" s="123"/>
      <c r="D376" s="138"/>
      <c r="E376" s="123">
        <v>20</v>
      </c>
      <c r="F376" s="122"/>
      <c r="G376" s="132">
        <v>94.5</v>
      </c>
    </row>
    <row r="377" spans="1:7" x14ac:dyDescent="0.2">
      <c r="A377" s="122"/>
      <c r="B377" s="123"/>
      <c r="C377" s="123"/>
      <c r="D377" s="138"/>
      <c r="E377" s="123">
        <v>30</v>
      </c>
      <c r="F377" s="122"/>
      <c r="G377" s="132">
        <v>89.3</v>
      </c>
    </row>
    <row r="378" spans="1:7" x14ac:dyDescent="0.2">
      <c r="A378" s="110">
        <v>4415</v>
      </c>
      <c r="B378" s="111" t="s">
        <v>139</v>
      </c>
      <c r="C378" s="111"/>
      <c r="D378" s="112" t="s">
        <v>200</v>
      </c>
      <c r="E378" s="111">
        <v>1</v>
      </c>
      <c r="F378" s="110"/>
      <c r="G378" s="113">
        <v>92.1</v>
      </c>
    </row>
    <row r="379" spans="1:7" x14ac:dyDescent="0.2">
      <c r="A379" s="110"/>
      <c r="B379" s="111"/>
      <c r="C379" s="111"/>
      <c r="D379" s="112"/>
      <c r="E379" s="111">
        <v>10</v>
      </c>
      <c r="F379" s="110"/>
      <c r="G379" s="113">
        <v>87.5</v>
      </c>
    </row>
    <row r="380" spans="1:7" x14ac:dyDescent="0.2">
      <c r="A380" s="110"/>
      <c r="B380" s="111"/>
      <c r="C380" s="111"/>
      <c r="D380" s="112"/>
      <c r="E380" s="111">
        <v>20</v>
      </c>
      <c r="F380" s="110"/>
      <c r="G380" s="113">
        <v>82.9</v>
      </c>
    </row>
    <row r="381" spans="1:7" x14ac:dyDescent="0.2">
      <c r="A381" s="110"/>
      <c r="B381" s="111"/>
      <c r="C381" s="111"/>
      <c r="D381" s="112"/>
      <c r="E381" s="111">
        <v>30</v>
      </c>
      <c r="F381" s="110"/>
      <c r="G381" s="113">
        <v>78.3</v>
      </c>
    </row>
    <row r="383" spans="1:7" ht="15" x14ac:dyDescent="0.2">
      <c r="A383" s="145" t="s">
        <v>211</v>
      </c>
      <c r="B383" s="57"/>
      <c r="C383" s="57"/>
      <c r="D383" s="59"/>
      <c r="E383" s="59"/>
      <c r="F383" s="145"/>
      <c r="G383" s="57"/>
    </row>
    <row r="384" spans="1:7" x14ac:dyDescent="0.2">
      <c r="A384" s="12" t="s">
        <v>1</v>
      </c>
      <c r="B384" s="11" t="s">
        <v>2</v>
      </c>
      <c r="C384" s="12"/>
      <c r="D384" s="71" t="s">
        <v>116</v>
      </c>
      <c r="E384" s="12" t="s">
        <v>4</v>
      </c>
      <c r="F384" s="12"/>
      <c r="G384" s="11" t="s">
        <v>5</v>
      </c>
    </row>
    <row r="385" spans="1:8" x14ac:dyDescent="0.2">
      <c r="A385" s="110">
        <v>4408</v>
      </c>
      <c r="B385" s="111" t="s">
        <v>14</v>
      </c>
      <c r="C385" s="111"/>
      <c r="D385" s="112" t="s">
        <v>199</v>
      </c>
      <c r="E385" s="111">
        <v>1</v>
      </c>
      <c r="F385" s="110"/>
      <c r="G385" s="113">
        <v>96.8</v>
      </c>
      <c r="H385" s="1"/>
    </row>
    <row r="386" spans="1:8" x14ac:dyDescent="0.2">
      <c r="A386" s="110"/>
      <c r="B386" s="111"/>
      <c r="C386" s="111"/>
      <c r="D386" s="112"/>
      <c r="E386" s="111">
        <v>10</v>
      </c>
      <c r="F386" s="110"/>
      <c r="G386" s="113">
        <v>92</v>
      </c>
      <c r="H386" s="1"/>
    </row>
    <row r="387" spans="1:8" x14ac:dyDescent="0.2">
      <c r="A387" s="110"/>
      <c r="B387" s="111"/>
      <c r="C387" s="111"/>
      <c r="D387" s="112"/>
      <c r="E387" s="111">
        <v>20</v>
      </c>
      <c r="F387" s="110"/>
      <c r="G387" s="113">
        <v>87.1</v>
      </c>
      <c r="H387" s="1"/>
    </row>
    <row r="388" spans="1:8" x14ac:dyDescent="0.2">
      <c r="A388" s="110"/>
      <c r="B388" s="111"/>
      <c r="C388" s="111"/>
      <c r="D388" s="112"/>
      <c r="E388" s="111">
        <v>30</v>
      </c>
      <c r="F388" s="110"/>
      <c r="G388" s="113">
        <v>82.3</v>
      </c>
      <c r="H388" s="1"/>
    </row>
    <row r="389" spans="1:8" x14ac:dyDescent="0.2">
      <c r="A389" s="122">
        <v>4426</v>
      </c>
      <c r="B389" s="123" t="s">
        <v>14</v>
      </c>
      <c r="C389" s="123"/>
      <c r="D389" s="138" t="s">
        <v>210</v>
      </c>
      <c r="E389" s="123">
        <v>1</v>
      </c>
      <c r="F389" s="122"/>
      <c r="G389" s="132">
        <v>96.8</v>
      </c>
      <c r="H389" s="221"/>
    </row>
    <row r="390" spans="1:8" x14ac:dyDescent="0.2">
      <c r="A390" s="122"/>
      <c r="B390" s="123"/>
      <c r="C390" s="123"/>
      <c r="D390" s="138"/>
      <c r="E390" s="123">
        <v>10</v>
      </c>
      <c r="F390" s="122"/>
      <c r="G390" s="132">
        <v>92</v>
      </c>
      <c r="H390" s="1"/>
    </row>
    <row r="391" spans="1:8" x14ac:dyDescent="0.2">
      <c r="A391" s="122"/>
      <c r="B391" s="123"/>
      <c r="C391" s="123"/>
      <c r="D391" s="138"/>
      <c r="E391" s="123">
        <v>20</v>
      </c>
      <c r="F391" s="122"/>
      <c r="G391" s="132">
        <v>87.1</v>
      </c>
      <c r="H391" s="1"/>
    </row>
    <row r="392" spans="1:8" x14ac:dyDescent="0.2">
      <c r="A392" s="122"/>
      <c r="B392" s="123"/>
      <c r="C392" s="123"/>
      <c r="D392" s="138"/>
      <c r="E392" s="123">
        <v>30</v>
      </c>
      <c r="F392" s="122"/>
      <c r="G392" s="132">
        <v>82.3</v>
      </c>
      <c r="H392" s="1"/>
    </row>
    <row r="393" spans="1:8" x14ac:dyDescent="0.2">
      <c r="A393" s="110">
        <v>4409</v>
      </c>
      <c r="B393" s="111" t="s">
        <v>14</v>
      </c>
      <c r="C393" s="111"/>
      <c r="D393" s="112" t="s">
        <v>203</v>
      </c>
      <c r="E393" s="111">
        <v>1</v>
      </c>
      <c r="F393" s="110"/>
      <c r="G393" s="113">
        <v>109.7</v>
      </c>
    </row>
    <row r="394" spans="1:8" x14ac:dyDescent="0.2">
      <c r="A394" s="110"/>
      <c r="B394" s="111"/>
      <c r="C394" s="111"/>
      <c r="D394" s="112"/>
      <c r="E394" s="111">
        <v>10</v>
      </c>
      <c r="F394" s="110"/>
      <c r="G394" s="113">
        <v>104.2</v>
      </c>
    </row>
    <row r="395" spans="1:8" x14ac:dyDescent="0.2">
      <c r="A395" s="110"/>
      <c r="B395" s="111"/>
      <c r="C395" s="111"/>
      <c r="D395" s="112"/>
      <c r="E395" s="111">
        <v>20</v>
      </c>
      <c r="F395" s="110"/>
      <c r="G395" s="113">
        <v>98.7</v>
      </c>
    </row>
    <row r="396" spans="1:8" x14ac:dyDescent="0.2">
      <c r="A396" s="110"/>
      <c r="B396" s="111"/>
      <c r="C396" s="111"/>
      <c r="D396" s="112"/>
      <c r="E396" s="111">
        <v>30</v>
      </c>
      <c r="F396" s="110"/>
      <c r="G396" s="113">
        <v>93.2</v>
      </c>
    </row>
    <row r="397" spans="1:8" x14ac:dyDescent="0.2">
      <c r="A397" s="122">
        <v>4413</v>
      </c>
      <c r="B397" s="123" t="s">
        <v>14</v>
      </c>
      <c r="C397" s="123"/>
      <c r="D397" s="138" t="s">
        <v>204</v>
      </c>
      <c r="E397" s="123">
        <v>1</v>
      </c>
      <c r="F397" s="122"/>
      <c r="G397" s="132">
        <v>113.7</v>
      </c>
    </row>
    <row r="398" spans="1:8" x14ac:dyDescent="0.2">
      <c r="A398" s="122"/>
      <c r="B398" s="123"/>
      <c r="C398" s="123"/>
      <c r="D398" s="138"/>
      <c r="E398" s="123">
        <v>10</v>
      </c>
      <c r="F398" s="122"/>
      <c r="G398" s="132">
        <v>108.1</v>
      </c>
    </row>
    <row r="399" spans="1:8" x14ac:dyDescent="0.2">
      <c r="A399" s="122"/>
      <c r="B399" s="123"/>
      <c r="C399" s="123"/>
      <c r="D399" s="138"/>
      <c r="E399" s="123">
        <v>20</v>
      </c>
      <c r="F399" s="122"/>
      <c r="G399" s="132">
        <v>102.4</v>
      </c>
    </row>
    <row r="400" spans="1:8" x14ac:dyDescent="0.2">
      <c r="A400" s="122"/>
      <c r="B400" s="123"/>
      <c r="C400" s="123"/>
      <c r="D400" s="138"/>
      <c r="E400" s="123">
        <v>30</v>
      </c>
      <c r="F400" s="122"/>
      <c r="G400" s="132">
        <v>96.7</v>
      </c>
    </row>
    <row r="401" spans="1:7" x14ac:dyDescent="0.2">
      <c r="A401" s="110">
        <v>4412</v>
      </c>
      <c r="B401" s="111" t="s">
        <v>14</v>
      </c>
      <c r="C401" s="111"/>
      <c r="D401" s="112" t="s">
        <v>205</v>
      </c>
      <c r="E401" s="111">
        <v>1</v>
      </c>
      <c r="F401" s="110"/>
      <c r="G401" s="113">
        <v>251.4</v>
      </c>
    </row>
    <row r="402" spans="1:7" x14ac:dyDescent="0.2">
      <c r="A402" s="110"/>
      <c r="B402" s="111"/>
      <c r="C402" s="111"/>
      <c r="D402" s="112"/>
      <c r="E402" s="111">
        <v>10</v>
      </c>
      <c r="F402" s="110"/>
      <c r="G402" s="113">
        <v>238.8</v>
      </c>
    </row>
    <row r="403" spans="1:7" x14ac:dyDescent="0.2">
      <c r="A403" s="110"/>
      <c r="B403" s="111"/>
      <c r="C403" s="111"/>
      <c r="D403" s="112"/>
      <c r="E403" s="111">
        <v>20</v>
      </c>
      <c r="F403" s="110"/>
      <c r="G403" s="113">
        <v>226.2</v>
      </c>
    </row>
    <row r="404" spans="1:7" x14ac:dyDescent="0.2">
      <c r="A404" s="110"/>
      <c r="B404" s="111"/>
      <c r="C404" s="111"/>
      <c r="D404" s="112"/>
      <c r="E404" s="111">
        <v>30</v>
      </c>
      <c r="F404" s="110"/>
      <c r="G404" s="113">
        <v>213.7</v>
      </c>
    </row>
    <row r="405" spans="1:7" x14ac:dyDescent="0.2">
      <c r="A405" s="122">
        <v>4416</v>
      </c>
      <c r="B405" s="123" t="s">
        <v>14</v>
      </c>
      <c r="C405" s="123"/>
      <c r="D405" s="138" t="s">
        <v>206</v>
      </c>
      <c r="E405" s="123">
        <v>1</v>
      </c>
      <c r="F405" s="122"/>
      <c r="G405" s="132">
        <v>132.30000000000001</v>
      </c>
    </row>
    <row r="406" spans="1:7" x14ac:dyDescent="0.2">
      <c r="A406" s="122"/>
      <c r="B406" s="123"/>
      <c r="C406" s="123"/>
      <c r="D406" s="138"/>
      <c r="E406" s="123">
        <v>10</v>
      </c>
      <c r="F406" s="122"/>
      <c r="G406" s="132">
        <v>125.7</v>
      </c>
    </row>
    <row r="407" spans="1:7" x14ac:dyDescent="0.2">
      <c r="A407" s="122"/>
      <c r="B407" s="123"/>
      <c r="C407" s="123"/>
      <c r="D407" s="138"/>
      <c r="E407" s="123">
        <v>20</v>
      </c>
      <c r="F407" s="122"/>
      <c r="G407" s="132">
        <v>119.1</v>
      </c>
    </row>
    <row r="408" spans="1:7" x14ac:dyDescent="0.2">
      <c r="A408" s="122"/>
      <c r="B408" s="123"/>
      <c r="C408" s="123"/>
      <c r="D408" s="138"/>
      <c r="E408" s="123">
        <v>30</v>
      </c>
      <c r="F408" s="122"/>
      <c r="G408" s="132">
        <v>112.5</v>
      </c>
    </row>
    <row r="409" spans="1:7" x14ac:dyDescent="0.2">
      <c r="A409" s="110">
        <v>4424</v>
      </c>
      <c r="B409" s="111" t="s">
        <v>14</v>
      </c>
      <c r="C409" s="111"/>
      <c r="D409" s="112" t="s">
        <v>212</v>
      </c>
      <c r="E409" s="111">
        <v>1</v>
      </c>
      <c r="F409" s="110"/>
      <c r="G409" s="113">
        <v>251</v>
      </c>
    </row>
    <row r="410" spans="1:7" x14ac:dyDescent="0.2">
      <c r="A410" s="110"/>
      <c r="B410" s="111"/>
      <c r="C410" s="111"/>
      <c r="D410" s="112"/>
      <c r="E410" s="111">
        <v>10</v>
      </c>
      <c r="F410" s="110"/>
      <c r="G410" s="113">
        <v>238.5</v>
      </c>
    </row>
    <row r="411" spans="1:7" x14ac:dyDescent="0.2">
      <c r="A411" s="110"/>
      <c r="B411" s="111"/>
      <c r="C411" s="111"/>
      <c r="D411" s="112"/>
      <c r="E411" s="111">
        <v>20</v>
      </c>
      <c r="F411" s="110"/>
      <c r="G411" s="113">
        <v>225.9</v>
      </c>
    </row>
    <row r="412" spans="1:7" x14ac:dyDescent="0.2">
      <c r="A412" s="110"/>
      <c r="B412" s="111"/>
      <c r="C412" s="111"/>
      <c r="D412" s="112"/>
      <c r="E412" s="111">
        <v>30</v>
      </c>
      <c r="F412" s="110"/>
      <c r="G412" s="113">
        <v>213.4</v>
      </c>
    </row>
    <row r="413" spans="1:7" x14ac:dyDescent="0.2">
      <c r="A413" s="122">
        <v>4410</v>
      </c>
      <c r="B413" s="123" t="s">
        <v>14</v>
      </c>
      <c r="C413" s="123"/>
      <c r="D413" s="138" t="s">
        <v>207</v>
      </c>
      <c r="E413" s="123">
        <v>1</v>
      </c>
      <c r="F413" s="122"/>
      <c r="G413" s="132">
        <v>112.9</v>
      </c>
    </row>
    <row r="414" spans="1:7" x14ac:dyDescent="0.2">
      <c r="A414" s="122"/>
      <c r="B414" s="123"/>
      <c r="C414" s="123"/>
      <c r="D414" s="138"/>
      <c r="E414" s="123">
        <v>10</v>
      </c>
      <c r="F414" s="122"/>
      <c r="G414" s="132">
        <v>107.3</v>
      </c>
    </row>
    <row r="415" spans="1:7" x14ac:dyDescent="0.2">
      <c r="A415" s="122"/>
      <c r="B415" s="123"/>
      <c r="C415" s="123"/>
      <c r="D415" s="138"/>
      <c r="E415" s="123">
        <v>20</v>
      </c>
      <c r="F415" s="122"/>
      <c r="G415" s="132">
        <v>101.6</v>
      </c>
    </row>
    <row r="416" spans="1:7" x14ac:dyDescent="0.2">
      <c r="A416" s="122"/>
      <c r="B416" s="123"/>
      <c r="C416" s="123"/>
      <c r="D416" s="138"/>
      <c r="E416" s="123">
        <v>30</v>
      </c>
      <c r="F416" s="122"/>
      <c r="G416" s="132">
        <v>96</v>
      </c>
    </row>
    <row r="417" spans="1:8" x14ac:dyDescent="0.2">
      <c r="A417" s="110">
        <v>4411</v>
      </c>
      <c r="B417" s="111" t="s">
        <v>14</v>
      </c>
      <c r="C417" s="111"/>
      <c r="D417" s="112" t="s">
        <v>208</v>
      </c>
      <c r="E417" s="111">
        <v>1</v>
      </c>
      <c r="F417" s="110"/>
      <c r="G417" s="113">
        <v>184.7</v>
      </c>
    </row>
    <row r="418" spans="1:8" x14ac:dyDescent="0.2">
      <c r="A418" s="110"/>
      <c r="B418" s="111"/>
      <c r="C418" s="111"/>
      <c r="D418" s="112"/>
      <c r="E418" s="111">
        <v>10</v>
      </c>
      <c r="F418" s="110"/>
      <c r="G418" s="113">
        <v>175.5</v>
      </c>
    </row>
    <row r="419" spans="1:8" x14ac:dyDescent="0.2">
      <c r="A419" s="110"/>
      <c r="B419" s="111"/>
      <c r="C419" s="111"/>
      <c r="D419" s="112"/>
      <c r="E419" s="111">
        <v>20</v>
      </c>
      <c r="F419" s="110"/>
      <c r="G419" s="113">
        <v>166.2</v>
      </c>
    </row>
    <row r="420" spans="1:8" x14ac:dyDescent="0.2">
      <c r="A420" s="110"/>
      <c r="B420" s="111"/>
      <c r="C420" s="111"/>
      <c r="D420" s="112"/>
      <c r="E420" s="111">
        <v>30</v>
      </c>
      <c r="F420" s="110"/>
      <c r="G420" s="113">
        <v>157</v>
      </c>
    </row>
    <row r="421" spans="1:8" x14ac:dyDescent="0.2">
      <c r="A421" s="122">
        <v>4414</v>
      </c>
      <c r="B421" s="123" t="s">
        <v>14</v>
      </c>
      <c r="C421" s="123"/>
      <c r="D421" s="138" t="s">
        <v>200</v>
      </c>
      <c r="E421" s="123">
        <v>1</v>
      </c>
      <c r="F421" s="122"/>
      <c r="G421" s="132">
        <v>158.9</v>
      </c>
    </row>
    <row r="422" spans="1:8" x14ac:dyDescent="0.2">
      <c r="A422" s="122"/>
      <c r="B422" s="123"/>
      <c r="C422" s="123"/>
      <c r="D422" s="138"/>
      <c r="E422" s="123">
        <v>10</v>
      </c>
      <c r="F422" s="122"/>
      <c r="G422" s="132">
        <v>150.9</v>
      </c>
    </row>
    <row r="423" spans="1:8" x14ac:dyDescent="0.2">
      <c r="A423" s="122"/>
      <c r="B423" s="123"/>
      <c r="C423" s="123"/>
      <c r="D423" s="138"/>
      <c r="E423" s="123">
        <v>20</v>
      </c>
      <c r="F423" s="122"/>
      <c r="G423" s="132">
        <v>143</v>
      </c>
    </row>
    <row r="424" spans="1:8" x14ac:dyDescent="0.2">
      <c r="A424" s="122"/>
      <c r="B424" s="123"/>
      <c r="C424" s="123"/>
      <c r="D424" s="138"/>
      <c r="E424" s="123">
        <v>30</v>
      </c>
      <c r="F424" s="122"/>
      <c r="G424" s="132">
        <v>135.1</v>
      </c>
    </row>
    <row r="425" spans="1:8" x14ac:dyDescent="0.2">
      <c r="A425" s="110">
        <v>4425</v>
      </c>
      <c r="B425" s="111" t="s">
        <v>14</v>
      </c>
      <c r="C425" s="111"/>
      <c r="D425" s="112" t="s">
        <v>213</v>
      </c>
      <c r="E425" s="111">
        <v>1</v>
      </c>
      <c r="F425" s="110"/>
      <c r="G425" s="113">
        <v>172.2</v>
      </c>
    </row>
    <row r="426" spans="1:8" x14ac:dyDescent="0.2">
      <c r="A426" s="110"/>
      <c r="B426" s="111"/>
      <c r="C426" s="111"/>
      <c r="D426" s="112"/>
      <c r="E426" s="111">
        <v>10</v>
      </c>
      <c r="F426" s="110"/>
      <c r="G426" s="113">
        <v>163.6</v>
      </c>
    </row>
    <row r="427" spans="1:8" x14ac:dyDescent="0.2">
      <c r="A427" s="110"/>
      <c r="B427" s="111"/>
      <c r="C427" s="111"/>
      <c r="D427" s="112"/>
      <c r="E427" s="111">
        <v>20</v>
      </c>
      <c r="F427" s="110"/>
      <c r="G427" s="113">
        <v>155</v>
      </c>
    </row>
    <row r="428" spans="1:8" x14ac:dyDescent="0.2">
      <c r="A428" s="110"/>
      <c r="B428" s="111"/>
      <c r="C428" s="111"/>
      <c r="D428" s="112"/>
      <c r="E428" s="111">
        <v>30</v>
      </c>
      <c r="F428" s="110"/>
      <c r="G428" s="113">
        <v>146.4</v>
      </c>
      <c r="H428" s="1"/>
    </row>
    <row r="429" spans="1:8" x14ac:dyDescent="0.2">
      <c r="A429" s="122">
        <v>4428</v>
      </c>
      <c r="B429" s="123" t="s">
        <v>14</v>
      </c>
      <c r="C429" s="123"/>
      <c r="D429" s="138" t="s">
        <v>214</v>
      </c>
      <c r="E429" s="123">
        <v>1</v>
      </c>
      <c r="F429" s="122"/>
      <c r="G429" s="132">
        <v>174.4</v>
      </c>
      <c r="H429" s="1"/>
    </row>
    <row r="430" spans="1:8" x14ac:dyDescent="0.2">
      <c r="A430" s="122"/>
      <c r="B430" s="123"/>
      <c r="C430" s="123"/>
      <c r="D430" s="138"/>
      <c r="E430" s="123">
        <v>10</v>
      </c>
      <c r="F430" s="122"/>
      <c r="G430" s="132">
        <v>165.7</v>
      </c>
      <c r="H430" s="1"/>
    </row>
    <row r="431" spans="1:8" x14ac:dyDescent="0.2">
      <c r="A431" s="122"/>
      <c r="B431" s="123"/>
      <c r="C431" s="123"/>
      <c r="D431" s="138"/>
      <c r="E431" s="123">
        <v>20</v>
      </c>
      <c r="F431" s="122"/>
      <c r="G431" s="132">
        <v>157</v>
      </c>
      <c r="H431" s="1"/>
    </row>
    <row r="432" spans="1:8" x14ac:dyDescent="0.2">
      <c r="A432" s="122"/>
      <c r="B432" s="123"/>
      <c r="C432" s="123"/>
      <c r="D432" s="138"/>
      <c r="E432" s="123">
        <v>30</v>
      </c>
      <c r="F432" s="122"/>
      <c r="G432" s="132">
        <v>148.30000000000001</v>
      </c>
      <c r="H432" s="1"/>
    </row>
    <row r="433" spans="8:8" x14ac:dyDescent="0.2">
      <c r="H433" s="1"/>
    </row>
    <row r="434" spans="8:8" x14ac:dyDescent="0.2">
      <c r="H434" s="1"/>
    </row>
    <row r="435" spans="8:8" x14ac:dyDescent="0.2">
      <c r="H435" s="1"/>
    </row>
    <row r="458" ht="12.75" customHeight="1" x14ac:dyDescent="0.2"/>
  </sheetData>
  <mergeCells count="2">
    <mergeCell ref="A1:G3"/>
    <mergeCell ref="A149:G149"/>
  </mergeCells>
  <printOptions horizontalCentered="1"/>
  <pageMargins left="0" right="0" top="0.19685039370078741" bottom="0.19685039370078741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E836-5B65-4C58-8813-ECBFFBC54568}">
  <dimension ref="A1:J190"/>
  <sheetViews>
    <sheetView showGridLines="0" topLeftCell="D48" zoomScaleNormal="100" workbookViewId="0">
      <selection activeCell="E77" sqref="E77"/>
    </sheetView>
  </sheetViews>
  <sheetFormatPr defaultColWidth="9.140625" defaultRowHeight="12.75" x14ac:dyDescent="0.2"/>
  <cols>
    <col min="1" max="1" width="13.7109375" style="1" customWidth="1"/>
    <col min="2" max="2" width="2" style="1" customWidth="1"/>
    <col min="3" max="3" width="11.42578125" style="1" customWidth="1"/>
    <col min="4" max="4" width="1.42578125" style="1" customWidth="1"/>
    <col min="5" max="5" width="70.42578125" style="58" customWidth="1"/>
    <col min="6" max="6" width="18.5703125" style="1" customWidth="1"/>
    <col min="7" max="16384" width="9.140625" style="1"/>
  </cols>
  <sheetData>
    <row r="1" spans="1:6" ht="12.75" customHeight="1" x14ac:dyDescent="0.2">
      <c r="A1" s="226"/>
      <c r="B1" s="226"/>
      <c r="C1" s="226"/>
      <c r="D1" s="226"/>
      <c r="E1" s="226"/>
      <c r="F1" s="226"/>
    </row>
    <row r="2" spans="1:6" ht="12.75" customHeight="1" x14ac:dyDescent="0.2">
      <c r="A2" s="226"/>
      <c r="B2" s="226"/>
      <c r="C2" s="226"/>
      <c r="D2" s="226"/>
      <c r="E2" s="226"/>
      <c r="F2" s="226"/>
    </row>
    <row r="3" spans="1:6" ht="12.75" customHeight="1" x14ac:dyDescent="0.2">
      <c r="A3" s="226"/>
      <c r="B3" s="226"/>
      <c r="C3" s="226"/>
      <c r="D3" s="226"/>
      <c r="E3" s="226"/>
      <c r="F3" s="226"/>
    </row>
    <row r="4" spans="1:6" x14ac:dyDescent="0.2">
      <c r="C4" s="2"/>
      <c r="D4" s="3"/>
      <c r="E4" s="2"/>
      <c r="F4" s="2"/>
    </row>
    <row r="5" spans="1:6" ht="15" x14ac:dyDescent="0.2">
      <c r="A5" s="145" t="s">
        <v>215</v>
      </c>
      <c r="B5" s="145"/>
      <c r="C5" s="57"/>
      <c r="D5" s="57"/>
      <c r="E5" s="59"/>
      <c r="F5" s="57"/>
    </row>
    <row r="6" spans="1:6" x14ac:dyDescent="0.2">
      <c r="A6" s="12" t="s">
        <v>1</v>
      </c>
      <c r="B6" s="12"/>
      <c r="C6" s="11"/>
      <c r="D6" s="12"/>
      <c r="E6" s="71" t="s">
        <v>116</v>
      </c>
      <c r="F6" s="11" t="s">
        <v>5</v>
      </c>
    </row>
    <row r="7" spans="1:6" ht="12.75" customHeight="1" x14ac:dyDescent="0.2">
      <c r="A7" s="110">
        <v>1903</v>
      </c>
      <c r="B7" s="110"/>
      <c r="C7" s="111"/>
      <c r="D7" s="111"/>
      <c r="E7" s="112" t="s">
        <v>216</v>
      </c>
      <c r="F7" s="113">
        <v>78.8</v>
      </c>
    </row>
    <row r="8" spans="1:6" x14ac:dyDescent="0.2">
      <c r="A8" s="122">
        <v>1904</v>
      </c>
      <c r="B8" s="122"/>
      <c r="C8" s="123"/>
      <c r="D8" s="123"/>
      <c r="E8" s="138" t="s">
        <v>217</v>
      </c>
      <c r="F8" s="132">
        <v>85.8</v>
      </c>
    </row>
    <row r="9" spans="1:6" x14ac:dyDescent="0.2">
      <c r="A9" s="110">
        <v>1905</v>
      </c>
      <c r="B9" s="110"/>
      <c r="C9" s="111"/>
      <c r="D9" s="111"/>
      <c r="E9" s="112" t="s">
        <v>218</v>
      </c>
      <c r="F9" s="113">
        <v>89.3</v>
      </c>
    </row>
    <row r="10" spans="1:6" x14ac:dyDescent="0.2">
      <c r="A10" s="122">
        <v>1907</v>
      </c>
      <c r="B10" s="122"/>
      <c r="C10" s="193"/>
      <c r="D10" s="193"/>
      <c r="E10" s="138" t="s">
        <v>219</v>
      </c>
      <c r="F10" s="132">
        <v>78.8</v>
      </c>
    </row>
    <row r="11" spans="1:6" x14ac:dyDescent="0.2">
      <c r="A11" s="110">
        <v>1908</v>
      </c>
      <c r="B11" s="110"/>
      <c r="C11" s="194"/>
      <c r="D11" s="195"/>
      <c r="E11" s="112" t="s">
        <v>220</v>
      </c>
      <c r="F11" s="113">
        <v>94.5</v>
      </c>
    </row>
    <row r="12" spans="1:6" x14ac:dyDescent="0.2">
      <c r="A12" s="122">
        <v>1906</v>
      </c>
      <c r="B12" s="122"/>
      <c r="C12" s="123"/>
      <c r="D12" s="123"/>
      <c r="E12" s="138" t="s">
        <v>221</v>
      </c>
      <c r="F12" s="132">
        <v>94.5</v>
      </c>
    </row>
    <row r="13" spans="1:6" x14ac:dyDescent="0.2">
      <c r="A13" s="110">
        <v>1909</v>
      </c>
      <c r="B13" s="110"/>
      <c r="C13" s="111"/>
      <c r="D13" s="111"/>
      <c r="E13" s="112" t="s">
        <v>222</v>
      </c>
      <c r="F13" s="113">
        <v>234.5</v>
      </c>
    </row>
    <row r="14" spans="1:6" x14ac:dyDescent="0.2">
      <c r="A14" s="122">
        <v>1910</v>
      </c>
      <c r="B14" s="122"/>
      <c r="C14" s="123"/>
      <c r="D14" s="123"/>
      <c r="E14" s="138" t="s">
        <v>223</v>
      </c>
      <c r="F14" s="189">
        <v>94.5</v>
      </c>
    </row>
    <row r="15" spans="1:6" ht="12.75" customHeight="1" x14ac:dyDescent="0.2">
      <c r="A15" s="110">
        <v>1911</v>
      </c>
      <c r="B15" s="110"/>
      <c r="C15" s="111"/>
      <c r="D15" s="111"/>
      <c r="E15" s="112" t="s">
        <v>577</v>
      </c>
      <c r="F15" s="177">
        <v>245</v>
      </c>
    </row>
    <row r="16" spans="1:6" x14ac:dyDescent="0.2">
      <c r="A16" s="122">
        <v>1923</v>
      </c>
      <c r="B16" s="122"/>
      <c r="C16" s="123"/>
      <c r="D16" s="123"/>
      <c r="E16" s="138" t="s">
        <v>224</v>
      </c>
      <c r="F16" s="132">
        <v>205.6</v>
      </c>
    </row>
    <row r="17" spans="1:7" x14ac:dyDescent="0.2">
      <c r="A17" s="171"/>
      <c r="B17" s="171"/>
      <c r="C17" s="202"/>
      <c r="D17" s="202"/>
      <c r="E17" s="170"/>
      <c r="F17" s="203"/>
      <c r="G17" s="196"/>
    </row>
    <row r="18" spans="1:7" ht="15" x14ac:dyDescent="0.2">
      <c r="A18" s="145" t="s">
        <v>225</v>
      </c>
      <c r="B18" s="145"/>
      <c r="C18" s="57"/>
      <c r="D18" s="57"/>
      <c r="E18" s="59"/>
      <c r="F18" s="57"/>
      <c r="G18" s="196"/>
    </row>
    <row r="19" spans="1:7" x14ac:dyDescent="0.2">
      <c r="A19" s="12" t="s">
        <v>1</v>
      </c>
      <c r="B19" s="12"/>
      <c r="C19" s="12" t="s">
        <v>2</v>
      </c>
      <c r="D19" s="12"/>
      <c r="E19" s="71" t="s">
        <v>116</v>
      </c>
      <c r="F19" s="11" t="s">
        <v>5</v>
      </c>
      <c r="G19" s="196"/>
    </row>
    <row r="20" spans="1:7" x14ac:dyDescent="0.2">
      <c r="A20" s="110">
        <v>7109</v>
      </c>
      <c r="B20" s="110"/>
      <c r="C20" s="111" t="s">
        <v>14</v>
      </c>
      <c r="D20" s="111"/>
      <c r="E20" s="112" t="s">
        <v>226</v>
      </c>
      <c r="F20" s="113">
        <v>2.7</v>
      </c>
    </row>
    <row r="21" spans="1:7" x14ac:dyDescent="0.2">
      <c r="A21" s="122">
        <v>1040</v>
      </c>
      <c r="B21" s="122"/>
      <c r="C21" s="123" t="s">
        <v>14</v>
      </c>
      <c r="D21" s="123"/>
      <c r="E21" s="138" t="s">
        <v>227</v>
      </c>
      <c r="F21" s="132">
        <v>4.5</v>
      </c>
    </row>
    <row r="22" spans="1:7" x14ac:dyDescent="0.2">
      <c r="A22" s="110">
        <v>7004</v>
      </c>
      <c r="B22" s="110"/>
      <c r="C22" s="111" t="s">
        <v>14</v>
      </c>
      <c r="D22" s="111"/>
      <c r="E22" s="112" t="s">
        <v>228</v>
      </c>
      <c r="F22" s="113">
        <v>4.5</v>
      </c>
      <c r="G22" s="196"/>
    </row>
    <row r="23" spans="1:7" ht="12.75" customHeight="1" x14ac:dyDescent="0.2">
      <c r="A23" s="122">
        <v>7514</v>
      </c>
      <c r="B23" s="122"/>
      <c r="C23" s="123" t="s">
        <v>14</v>
      </c>
      <c r="D23" s="123"/>
      <c r="E23" s="138" t="s">
        <v>229</v>
      </c>
      <c r="F23" s="132">
        <v>4.5</v>
      </c>
      <c r="G23" s="196"/>
    </row>
    <row r="24" spans="1:7" x14ac:dyDescent="0.2">
      <c r="A24" s="110">
        <v>1036</v>
      </c>
      <c r="B24" s="110"/>
      <c r="C24" s="111" t="s">
        <v>14</v>
      </c>
      <c r="D24" s="111"/>
      <c r="E24" s="112" t="s">
        <v>230</v>
      </c>
      <c r="F24" s="113">
        <v>4.5</v>
      </c>
      <c r="G24" s="196"/>
    </row>
    <row r="25" spans="1:7" x14ac:dyDescent="0.2">
      <c r="A25" s="122">
        <v>1037</v>
      </c>
      <c r="B25" s="122"/>
      <c r="C25" s="123" t="s">
        <v>14</v>
      </c>
      <c r="D25" s="123"/>
      <c r="E25" s="138" t="s">
        <v>231</v>
      </c>
      <c r="F25" s="132">
        <v>4.5</v>
      </c>
      <c r="G25" s="196"/>
    </row>
    <row r="26" spans="1:7" x14ac:dyDescent="0.2">
      <c r="A26" s="110">
        <v>1039</v>
      </c>
      <c r="B26" s="110"/>
      <c r="C26" s="111" t="s">
        <v>14</v>
      </c>
      <c r="D26" s="111"/>
      <c r="E26" s="112" t="s">
        <v>232</v>
      </c>
      <c r="F26" s="113">
        <v>4.5</v>
      </c>
      <c r="G26" s="196"/>
    </row>
    <row r="27" spans="1:7" x14ac:dyDescent="0.2">
      <c r="A27" s="110">
        <v>7076</v>
      </c>
      <c r="B27" s="110"/>
      <c r="C27" s="111"/>
      <c r="D27" s="111"/>
      <c r="E27" s="112" t="s">
        <v>233</v>
      </c>
      <c r="F27" s="113">
        <v>3.9</v>
      </c>
      <c r="G27" s="196"/>
    </row>
    <row r="28" spans="1:7" x14ac:dyDescent="0.2">
      <c r="A28" s="122">
        <v>7192</v>
      </c>
      <c r="B28" s="122"/>
      <c r="C28" s="124"/>
      <c r="D28" s="124"/>
      <c r="E28" s="138" t="s">
        <v>234</v>
      </c>
      <c r="F28" s="132">
        <v>1.2</v>
      </c>
      <c r="G28" s="196"/>
    </row>
    <row r="29" spans="1:7" x14ac:dyDescent="0.2">
      <c r="A29" s="110">
        <v>1089</v>
      </c>
      <c r="B29" s="110"/>
      <c r="C29" s="111"/>
      <c r="D29" s="111"/>
      <c r="E29" s="112" t="s">
        <v>235</v>
      </c>
      <c r="F29" s="113">
        <v>15.1</v>
      </c>
      <c r="G29" s="196"/>
    </row>
    <row r="30" spans="1:7" x14ac:dyDescent="0.2">
      <c r="A30" s="3"/>
      <c r="B30" s="3"/>
      <c r="C30" s="2"/>
      <c r="D30" s="2"/>
      <c r="F30" s="6"/>
    </row>
    <row r="31" spans="1:7" ht="15" x14ac:dyDescent="0.2">
      <c r="A31" s="145" t="s">
        <v>236</v>
      </c>
      <c r="B31" s="145"/>
      <c r="C31" s="57"/>
      <c r="D31" s="57"/>
      <c r="E31" s="59"/>
      <c r="F31" s="57"/>
    </row>
    <row r="32" spans="1:7" x14ac:dyDescent="0.2">
      <c r="A32" s="12" t="s">
        <v>1</v>
      </c>
      <c r="B32" s="12"/>
      <c r="C32" s="12"/>
      <c r="D32" s="12"/>
      <c r="E32" s="71" t="s">
        <v>116</v>
      </c>
      <c r="F32" s="11" t="s">
        <v>5</v>
      </c>
    </row>
    <row r="33" spans="1:10" x14ac:dyDescent="0.2">
      <c r="A33" s="110">
        <v>7421</v>
      </c>
      <c r="B33" s="110"/>
      <c r="C33" s="111"/>
      <c r="D33" s="111"/>
      <c r="E33" s="112" t="s">
        <v>237</v>
      </c>
      <c r="F33" s="113">
        <v>7.4</v>
      </c>
    </row>
    <row r="34" spans="1:10" x14ac:dyDescent="0.2">
      <c r="A34" s="122">
        <v>7422</v>
      </c>
      <c r="B34" s="122"/>
      <c r="C34" s="123"/>
      <c r="D34" s="123"/>
      <c r="E34" s="138" t="s">
        <v>238</v>
      </c>
      <c r="F34" s="132">
        <v>3.1</v>
      </c>
    </row>
    <row r="35" spans="1:10" s="50" customFormat="1" x14ac:dyDescent="0.2">
      <c r="A35" s="110">
        <v>7423</v>
      </c>
      <c r="B35" s="110"/>
      <c r="C35" s="111"/>
      <c r="D35" s="111"/>
      <c r="E35" s="112" t="s">
        <v>239</v>
      </c>
      <c r="F35" s="113">
        <v>3.1</v>
      </c>
      <c r="H35" s="1"/>
      <c r="I35" s="1"/>
      <c r="J35" s="1"/>
    </row>
    <row r="36" spans="1:10" s="50" customFormat="1" ht="12.75" customHeight="1" x14ac:dyDescent="0.2">
      <c r="A36" s="122">
        <v>7425</v>
      </c>
      <c r="B36" s="122"/>
      <c r="C36" s="123"/>
      <c r="D36" s="123"/>
      <c r="E36" s="138" t="s">
        <v>240</v>
      </c>
      <c r="F36" s="132">
        <v>3.1</v>
      </c>
      <c r="H36" s="1"/>
      <c r="I36" s="1"/>
      <c r="J36" s="1"/>
    </row>
    <row r="37" spans="1:10" s="50" customFormat="1" x14ac:dyDescent="0.2">
      <c r="H37" s="1"/>
      <c r="I37" s="1"/>
      <c r="J37" s="1"/>
    </row>
    <row r="38" spans="1:10" s="50" customFormat="1" ht="15" x14ac:dyDescent="0.2">
      <c r="A38" s="145" t="s">
        <v>241</v>
      </c>
      <c r="B38" s="145"/>
      <c r="C38" s="57"/>
      <c r="D38" s="57"/>
      <c r="E38" s="59"/>
      <c r="F38" s="57"/>
      <c r="H38" s="1"/>
      <c r="I38" s="1"/>
      <c r="J38" s="1"/>
    </row>
    <row r="39" spans="1:10" s="50" customFormat="1" x14ac:dyDescent="0.2">
      <c r="A39" s="12" t="s">
        <v>1</v>
      </c>
      <c r="B39" s="12"/>
      <c r="C39" s="12" t="s">
        <v>2</v>
      </c>
      <c r="D39" s="12"/>
      <c r="E39" s="71" t="s">
        <v>116</v>
      </c>
      <c r="F39" s="11" t="s">
        <v>5</v>
      </c>
      <c r="H39" s="1"/>
      <c r="I39" s="1"/>
      <c r="J39" s="1"/>
    </row>
    <row r="40" spans="1:10" s="50" customFormat="1" x14ac:dyDescent="0.2">
      <c r="A40" s="110">
        <v>1072</v>
      </c>
      <c r="B40" s="110"/>
      <c r="C40" s="111" t="s">
        <v>10</v>
      </c>
      <c r="D40" s="111"/>
      <c r="E40" s="112" t="s">
        <v>242</v>
      </c>
      <c r="F40" s="113">
        <v>1.8</v>
      </c>
      <c r="H40" s="1"/>
      <c r="I40" s="1"/>
      <c r="J40" s="1"/>
    </row>
    <row r="41" spans="1:10" s="50" customFormat="1" x14ac:dyDescent="0.2">
      <c r="A41" s="122">
        <v>1073</v>
      </c>
      <c r="B41" s="122"/>
      <c r="C41" s="123" t="s">
        <v>10</v>
      </c>
      <c r="D41" s="123"/>
      <c r="E41" s="138" t="s">
        <v>243</v>
      </c>
      <c r="F41" s="132">
        <v>0.2</v>
      </c>
      <c r="H41" s="1"/>
      <c r="I41" s="1"/>
      <c r="J41" s="1"/>
    </row>
    <row r="42" spans="1:10" s="50" customFormat="1" x14ac:dyDescent="0.2">
      <c r="A42" s="110">
        <v>7080</v>
      </c>
      <c r="B42" s="110"/>
      <c r="C42" s="111" t="s">
        <v>139</v>
      </c>
      <c r="D42" s="111"/>
      <c r="E42" s="112" t="s">
        <v>242</v>
      </c>
      <c r="F42" s="113">
        <v>1.1000000000000001</v>
      </c>
      <c r="H42" s="1"/>
      <c r="I42" s="1"/>
      <c r="J42" s="1"/>
    </row>
    <row r="43" spans="1:10" s="50" customFormat="1" x14ac:dyDescent="0.2">
      <c r="A43" s="122">
        <v>7072</v>
      </c>
      <c r="B43" s="122"/>
      <c r="C43" s="123"/>
      <c r="D43" s="123"/>
      <c r="E43" s="138" t="s">
        <v>244</v>
      </c>
      <c r="F43" s="132">
        <v>12.5</v>
      </c>
      <c r="H43" s="1"/>
      <c r="I43" s="1"/>
      <c r="J43" s="1"/>
    </row>
    <row r="44" spans="1:10" s="50" customFormat="1" x14ac:dyDescent="0.2">
      <c r="A44" s="110">
        <v>7073</v>
      </c>
      <c r="B44" s="110"/>
      <c r="C44" s="111"/>
      <c r="D44" s="111"/>
      <c r="E44" s="112" t="s">
        <v>245</v>
      </c>
      <c r="F44" s="113">
        <v>13.5</v>
      </c>
      <c r="H44" s="1"/>
      <c r="I44" s="1"/>
      <c r="J44" s="1"/>
    </row>
    <row r="45" spans="1:10" s="50" customFormat="1" x14ac:dyDescent="0.2">
      <c r="A45" s="122">
        <v>7001</v>
      </c>
      <c r="B45" s="122"/>
      <c r="C45" s="123"/>
      <c r="D45" s="123"/>
      <c r="E45" s="138" t="s">
        <v>246</v>
      </c>
      <c r="F45" s="132">
        <v>16.5</v>
      </c>
      <c r="H45" s="1"/>
    </row>
    <row r="46" spans="1:10" s="50" customFormat="1" x14ac:dyDescent="0.2">
      <c r="A46" s="110">
        <v>7002</v>
      </c>
      <c r="B46" s="110"/>
      <c r="C46" s="111"/>
      <c r="D46" s="111"/>
      <c r="E46" s="112" t="s">
        <v>247</v>
      </c>
      <c r="F46" s="113">
        <v>18</v>
      </c>
      <c r="H46" s="1"/>
    </row>
    <row r="47" spans="1:10" s="50" customFormat="1" ht="12.75" customHeight="1" x14ac:dyDescent="0.2">
      <c r="A47" s="122">
        <v>7084</v>
      </c>
      <c r="B47" s="122"/>
      <c r="C47" s="123"/>
      <c r="D47" s="123"/>
      <c r="E47" s="138" t="s">
        <v>248</v>
      </c>
      <c r="F47" s="132">
        <v>6.9</v>
      </c>
      <c r="H47" s="1"/>
    </row>
    <row r="48" spans="1:10" s="50" customFormat="1" x14ac:dyDescent="0.2">
      <c r="A48" s="110">
        <v>7085</v>
      </c>
      <c r="B48" s="110"/>
      <c r="C48" s="111"/>
      <c r="D48" s="111"/>
      <c r="E48" s="112" t="s">
        <v>249</v>
      </c>
      <c r="F48" s="113">
        <v>13.3</v>
      </c>
      <c r="H48" s="1"/>
    </row>
    <row r="49" spans="1:8" s="50" customFormat="1" x14ac:dyDescent="0.2">
      <c r="A49" s="122">
        <v>7086</v>
      </c>
      <c r="B49" s="122"/>
      <c r="C49" s="123"/>
      <c r="D49" s="123"/>
      <c r="E49" s="138" t="s">
        <v>250</v>
      </c>
      <c r="F49" s="132">
        <v>13.3</v>
      </c>
      <c r="H49" s="1"/>
    </row>
    <row r="50" spans="1:8" s="50" customFormat="1" x14ac:dyDescent="0.2">
      <c r="A50" s="110">
        <v>7078</v>
      </c>
      <c r="B50" s="110"/>
      <c r="C50" s="111" t="s">
        <v>15</v>
      </c>
      <c r="D50" s="111"/>
      <c r="E50" s="112" t="s">
        <v>251</v>
      </c>
      <c r="F50" s="113">
        <v>19.7</v>
      </c>
      <c r="H50" s="1"/>
    </row>
    <row r="51" spans="1:8" s="50" customFormat="1" x14ac:dyDescent="0.2">
      <c r="A51" s="122">
        <v>7160</v>
      </c>
      <c r="B51" s="122"/>
      <c r="C51" s="123" t="s">
        <v>15</v>
      </c>
      <c r="D51" s="123"/>
      <c r="E51" s="138" t="s">
        <v>252</v>
      </c>
      <c r="F51" s="132">
        <v>3.9</v>
      </c>
      <c r="H51" s="1"/>
    </row>
    <row r="52" spans="1:8" s="50" customFormat="1" x14ac:dyDescent="0.2">
      <c r="A52" s="110">
        <v>1054</v>
      </c>
      <c r="B52" s="110"/>
      <c r="C52" s="111"/>
      <c r="D52" s="111"/>
      <c r="E52" s="112" t="s">
        <v>253</v>
      </c>
      <c r="F52" s="113">
        <v>5.9</v>
      </c>
      <c r="H52" s="1"/>
    </row>
    <row r="53" spans="1:8" s="50" customFormat="1" x14ac:dyDescent="0.2">
      <c r="A53" s="122">
        <v>1055</v>
      </c>
      <c r="B53" s="122"/>
      <c r="C53" s="123"/>
      <c r="D53" s="123"/>
      <c r="E53" s="138" t="s">
        <v>254</v>
      </c>
      <c r="F53" s="132">
        <v>5.9</v>
      </c>
      <c r="H53" s="1"/>
    </row>
    <row r="54" spans="1:8" s="50" customFormat="1" x14ac:dyDescent="0.2">
      <c r="A54" s="110">
        <v>1500</v>
      </c>
      <c r="B54" s="110"/>
      <c r="C54" s="111"/>
      <c r="D54" s="111"/>
      <c r="E54" s="112" t="s">
        <v>255</v>
      </c>
      <c r="F54" s="113">
        <v>2.5</v>
      </c>
      <c r="H54" s="1"/>
    </row>
    <row r="55" spans="1:8" s="50" customFormat="1" x14ac:dyDescent="0.2">
      <c r="A55" s="110"/>
      <c r="B55" s="110"/>
      <c r="C55" s="111"/>
      <c r="D55" s="111"/>
      <c r="E55" s="112" t="s">
        <v>256</v>
      </c>
      <c r="F55" s="113">
        <v>2.2000000000000002</v>
      </c>
      <c r="H55" s="1"/>
    </row>
    <row r="56" spans="1:8" s="50" customFormat="1" x14ac:dyDescent="0.2">
      <c r="A56" s="110"/>
      <c r="B56" s="110"/>
      <c r="C56" s="111"/>
      <c r="D56" s="111"/>
      <c r="E56" s="112" t="s">
        <v>257</v>
      </c>
      <c r="F56" s="113">
        <v>2</v>
      </c>
      <c r="H56" s="1"/>
    </row>
    <row r="57" spans="1:8" s="50" customFormat="1" x14ac:dyDescent="0.2">
      <c r="A57" s="122">
        <v>7083</v>
      </c>
      <c r="B57" s="122"/>
      <c r="C57" s="123"/>
      <c r="D57" s="123"/>
      <c r="E57" s="138" t="s">
        <v>258</v>
      </c>
      <c r="F57" s="132">
        <v>0.5</v>
      </c>
      <c r="H57" s="1"/>
    </row>
    <row r="58" spans="1:8" s="50" customFormat="1" x14ac:dyDescent="0.2">
      <c r="A58" s="110">
        <v>1029</v>
      </c>
      <c r="B58" s="110"/>
      <c r="C58" s="111"/>
      <c r="D58" s="111"/>
      <c r="E58" s="112" t="s">
        <v>259</v>
      </c>
      <c r="F58" s="113">
        <v>8.4</v>
      </c>
      <c r="H58" s="1"/>
    </row>
    <row r="59" spans="1:8" s="50" customFormat="1" x14ac:dyDescent="0.2">
      <c r="A59" s="122">
        <v>7535</v>
      </c>
      <c r="B59" s="122"/>
      <c r="C59" s="234"/>
      <c r="D59" s="234"/>
      <c r="E59" s="182" t="s">
        <v>260</v>
      </c>
      <c r="F59" s="135">
        <v>57.9</v>
      </c>
      <c r="H59" s="1"/>
    </row>
    <row r="60" spans="1:8" s="50" customFormat="1" x14ac:dyDescent="0.2">
      <c r="H60" s="1"/>
    </row>
    <row r="61" spans="1:8" s="50" customFormat="1" ht="15" x14ac:dyDescent="0.2">
      <c r="A61" s="145" t="s">
        <v>547</v>
      </c>
      <c r="B61" s="145"/>
      <c r="C61" s="57"/>
      <c r="D61" s="57"/>
      <c r="E61" s="59"/>
      <c r="F61" s="57"/>
    </row>
    <row r="62" spans="1:8" s="50" customFormat="1" x14ac:dyDescent="0.2">
      <c r="A62" s="12" t="s">
        <v>1</v>
      </c>
      <c r="B62" s="12"/>
      <c r="C62" s="214"/>
      <c r="D62" s="184"/>
      <c r="E62" s="71" t="s">
        <v>116</v>
      </c>
      <c r="F62" s="11" t="s">
        <v>5</v>
      </c>
    </row>
    <row r="63" spans="1:8" ht="12.75" customHeight="1" x14ac:dyDescent="0.2">
      <c r="A63" s="110">
        <v>4501</v>
      </c>
      <c r="B63" s="110"/>
      <c r="C63" s="110"/>
      <c r="D63" s="114"/>
      <c r="E63" s="114" t="s">
        <v>548</v>
      </c>
      <c r="F63" s="113">
        <v>117.3</v>
      </c>
      <c r="G63" s="50"/>
    </row>
    <row r="64" spans="1:8" x14ac:dyDescent="0.2">
      <c r="A64" s="122">
        <v>4502</v>
      </c>
      <c r="B64" s="122"/>
      <c r="C64" s="123"/>
      <c r="D64" s="123"/>
      <c r="E64" s="138" t="s">
        <v>549</v>
      </c>
      <c r="F64" s="132">
        <v>131.4</v>
      </c>
      <c r="G64" s="50"/>
    </row>
    <row r="65" spans="1:8" x14ac:dyDescent="0.2">
      <c r="A65" s="110">
        <v>4503</v>
      </c>
      <c r="B65" s="110"/>
      <c r="C65" s="111"/>
      <c r="D65" s="111"/>
      <c r="E65" s="112" t="s">
        <v>550</v>
      </c>
      <c r="F65" s="113">
        <v>152.30000000000001</v>
      </c>
      <c r="G65" s="50"/>
    </row>
    <row r="66" spans="1:8" x14ac:dyDescent="0.2">
      <c r="A66" s="122">
        <v>4510</v>
      </c>
      <c r="B66" s="122"/>
      <c r="C66" s="123"/>
      <c r="D66" s="123"/>
      <c r="E66" s="138" t="s">
        <v>551</v>
      </c>
      <c r="F66" s="132">
        <v>21.4</v>
      </c>
      <c r="G66" s="50"/>
    </row>
    <row r="67" spans="1:8" ht="12.75" customHeight="1" x14ac:dyDescent="0.2">
      <c r="A67" s="110">
        <v>4511</v>
      </c>
      <c r="B67" s="110"/>
      <c r="C67" s="111"/>
      <c r="D67" s="111"/>
      <c r="E67" s="112" t="s">
        <v>552</v>
      </c>
      <c r="F67" s="113">
        <v>21.4</v>
      </c>
      <c r="G67" s="50"/>
    </row>
    <row r="68" spans="1:8" x14ac:dyDescent="0.2">
      <c r="A68" s="122">
        <v>4512</v>
      </c>
      <c r="B68" s="122"/>
      <c r="C68" s="123"/>
      <c r="D68" s="123"/>
      <c r="E68" s="138" t="s">
        <v>553</v>
      </c>
      <c r="F68" s="132">
        <v>21.4</v>
      </c>
      <c r="G68" s="50"/>
    </row>
    <row r="69" spans="1:8" s="50" customFormat="1" x14ac:dyDescent="0.2">
      <c r="A69" s="110">
        <v>4513</v>
      </c>
      <c r="B69" s="110"/>
      <c r="C69" s="111"/>
      <c r="D69" s="111"/>
      <c r="E69" s="112" t="s">
        <v>554</v>
      </c>
      <c r="F69" s="113">
        <v>21.4</v>
      </c>
      <c r="H69" s="1"/>
    </row>
    <row r="70" spans="1:8" s="50" customFormat="1" x14ac:dyDescent="0.2">
      <c r="A70" s="122">
        <v>4514</v>
      </c>
      <c r="B70" s="122"/>
      <c r="C70" s="123"/>
      <c r="D70" s="123"/>
      <c r="E70" s="138" t="s">
        <v>555</v>
      </c>
      <c r="F70" s="132">
        <v>21.4</v>
      </c>
      <c r="H70" s="1"/>
    </row>
    <row r="71" spans="1:8" s="50" customFormat="1" x14ac:dyDescent="0.2">
      <c r="A71" s="110">
        <v>4515</v>
      </c>
      <c r="B71" s="110"/>
      <c r="C71" s="111"/>
      <c r="D71" s="111"/>
      <c r="E71" s="112" t="s">
        <v>556</v>
      </c>
      <c r="F71" s="113">
        <v>21.4</v>
      </c>
      <c r="H71" s="1"/>
    </row>
    <row r="72" spans="1:8" s="50" customFormat="1" x14ac:dyDescent="0.2">
      <c r="A72" s="122">
        <v>4516</v>
      </c>
      <c r="B72" s="122"/>
      <c r="C72" s="123"/>
      <c r="D72" s="123"/>
      <c r="E72" s="138" t="s">
        <v>558</v>
      </c>
      <c r="F72" s="132">
        <v>21.4</v>
      </c>
      <c r="H72" s="1"/>
    </row>
    <row r="73" spans="1:8" s="50" customFormat="1" x14ac:dyDescent="0.2">
      <c r="A73" s="122"/>
      <c r="B73" s="122"/>
      <c r="C73" s="123"/>
      <c r="D73" s="123"/>
      <c r="E73" s="216" t="s">
        <v>557</v>
      </c>
      <c r="F73" s="132"/>
      <c r="H73" s="1"/>
    </row>
    <row r="74" spans="1:8" s="50" customFormat="1" x14ac:dyDescent="0.2">
      <c r="A74" s="110">
        <v>4517</v>
      </c>
      <c r="B74" s="110"/>
      <c r="C74" s="111"/>
      <c r="D74" s="111"/>
      <c r="E74" s="112" t="s">
        <v>559</v>
      </c>
      <c r="F74" s="113">
        <v>21.4</v>
      </c>
      <c r="H74" s="1"/>
    </row>
    <row r="75" spans="1:8" s="50" customFormat="1" x14ac:dyDescent="0.2">
      <c r="A75" s="171"/>
      <c r="B75" s="171"/>
      <c r="C75" s="202"/>
      <c r="D75" s="202"/>
      <c r="E75" s="170"/>
      <c r="F75" s="215"/>
      <c r="H75" s="1"/>
    </row>
    <row r="76" spans="1:8" s="50" customFormat="1" x14ac:dyDescent="0.2">
      <c r="A76" s="171"/>
      <c r="B76" s="171"/>
      <c r="C76" s="202"/>
      <c r="D76" s="202"/>
      <c r="E76" s="170"/>
      <c r="F76" s="215"/>
      <c r="H76" s="1"/>
    </row>
    <row r="77" spans="1:8" s="50" customFormat="1" x14ac:dyDescent="0.2">
      <c r="A77" s="171"/>
      <c r="B77" s="171"/>
      <c r="C77" s="202"/>
      <c r="D77" s="202"/>
      <c r="E77" s="170"/>
      <c r="F77" s="215"/>
      <c r="G77" s="1"/>
      <c r="H77" s="1"/>
    </row>
    <row r="78" spans="1:8" s="50" customFormat="1" x14ac:dyDescent="0.2">
      <c r="G78" s="1"/>
      <c r="H78" s="1"/>
    </row>
    <row r="79" spans="1:8" s="50" customFormat="1" x14ac:dyDescent="0.2">
      <c r="G79" s="1"/>
      <c r="H79" s="1"/>
    </row>
    <row r="80" spans="1:8" s="50" customFormat="1" x14ac:dyDescent="0.2">
      <c r="G80" s="1"/>
      <c r="H80" s="1"/>
    </row>
    <row r="81" spans="1:8" s="50" customFormat="1" x14ac:dyDescent="0.2">
      <c r="G81" s="1"/>
      <c r="H81" s="1"/>
    </row>
    <row r="82" spans="1:8" s="50" customFormat="1" x14ac:dyDescent="0.2">
      <c r="G82" s="1"/>
      <c r="H82" s="1"/>
    </row>
    <row r="83" spans="1:8" s="50" customFormat="1" x14ac:dyDescent="0.2">
      <c r="G83" s="1"/>
      <c r="H83" s="1"/>
    </row>
    <row r="84" spans="1:8" s="50" customFormat="1" x14ac:dyDescent="0.2">
      <c r="G84" s="1"/>
      <c r="H84" s="1"/>
    </row>
    <row r="85" spans="1:8" s="50" customFormat="1" x14ac:dyDescent="0.2">
      <c r="G85" s="1"/>
      <c r="H85" s="1"/>
    </row>
    <row r="86" spans="1:8" s="50" customFormat="1" x14ac:dyDescent="0.2">
      <c r="A86" s="3"/>
      <c r="B86" s="3"/>
      <c r="C86" s="2"/>
      <c r="D86" s="2"/>
      <c r="E86" s="58"/>
      <c r="F86" s="6"/>
      <c r="H86" s="1"/>
    </row>
    <row r="87" spans="1:8" s="50" customFormat="1" x14ac:dyDescent="0.2">
      <c r="A87" s="3"/>
      <c r="B87" s="3"/>
      <c r="C87" s="2"/>
      <c r="D87" s="2"/>
      <c r="E87" s="58"/>
      <c r="F87" s="6"/>
      <c r="H87" s="1"/>
    </row>
    <row r="88" spans="1:8" s="50" customFormat="1" x14ac:dyDescent="0.2">
      <c r="A88" s="3"/>
      <c r="B88" s="3"/>
      <c r="C88" s="2"/>
      <c r="D88" s="2"/>
      <c r="E88" s="58"/>
      <c r="F88" s="6"/>
    </row>
    <row r="89" spans="1:8" s="50" customFormat="1" x14ac:dyDescent="0.2">
      <c r="A89" s="3"/>
      <c r="B89" s="3"/>
      <c r="C89" s="2"/>
      <c r="D89" s="2"/>
      <c r="E89" s="58"/>
      <c r="F89" s="6"/>
    </row>
    <row r="90" spans="1:8" s="50" customFormat="1" x14ac:dyDescent="0.2">
      <c r="A90" s="3"/>
      <c r="B90" s="3"/>
      <c r="C90" s="2"/>
      <c r="D90" s="2"/>
      <c r="E90" s="58"/>
      <c r="F90" s="6"/>
    </row>
    <row r="91" spans="1:8" s="50" customFormat="1" x14ac:dyDescent="0.2">
      <c r="A91" s="3"/>
      <c r="B91" s="3"/>
      <c r="C91" s="2"/>
      <c r="D91" s="2"/>
      <c r="E91" s="58"/>
      <c r="F91" s="6"/>
    </row>
    <row r="92" spans="1:8" s="50" customFormat="1" x14ac:dyDescent="0.2">
      <c r="A92" s="3"/>
      <c r="B92" s="3"/>
      <c r="C92" s="2"/>
      <c r="D92" s="2"/>
      <c r="E92" s="58"/>
      <c r="F92" s="6"/>
    </row>
    <row r="93" spans="1:8" s="50" customFormat="1" x14ac:dyDescent="0.2">
      <c r="A93" s="3"/>
      <c r="B93" s="3"/>
      <c r="C93" s="2"/>
      <c r="D93" s="2"/>
      <c r="E93" s="58"/>
      <c r="F93" s="6"/>
    </row>
    <row r="94" spans="1:8" s="50" customFormat="1" x14ac:dyDescent="0.2">
      <c r="A94" s="3"/>
      <c r="B94" s="3"/>
      <c r="C94" s="2"/>
      <c r="D94" s="2"/>
      <c r="E94" s="58"/>
      <c r="F94" s="6"/>
    </row>
    <row r="95" spans="1:8" s="50" customFormat="1" x14ac:dyDescent="0.2">
      <c r="A95" s="3"/>
      <c r="B95" s="3"/>
      <c r="C95" s="2"/>
      <c r="D95" s="2"/>
      <c r="E95" s="58"/>
      <c r="F95" s="6"/>
    </row>
    <row r="96" spans="1:8" s="50" customFormat="1" x14ac:dyDescent="0.2">
      <c r="A96" s="3"/>
      <c r="B96" s="3"/>
      <c r="C96" s="2"/>
      <c r="D96" s="2"/>
      <c r="E96" s="58"/>
      <c r="F96" s="6"/>
    </row>
    <row r="97" spans="1:6" s="50" customFormat="1" x14ac:dyDescent="0.2">
      <c r="A97" s="3"/>
      <c r="B97" s="3"/>
      <c r="C97" s="2"/>
      <c r="D97" s="2"/>
      <c r="E97" s="58"/>
      <c r="F97" s="6"/>
    </row>
    <row r="98" spans="1:6" s="50" customFormat="1" x14ac:dyDescent="0.2">
      <c r="A98" s="3"/>
      <c r="B98" s="3"/>
      <c r="C98" s="2"/>
      <c r="D98" s="2"/>
      <c r="E98" s="58"/>
      <c r="F98" s="6"/>
    </row>
    <row r="99" spans="1:6" s="50" customFormat="1" x14ac:dyDescent="0.2">
      <c r="A99" s="3"/>
      <c r="B99" s="3"/>
      <c r="C99" s="2"/>
      <c r="D99" s="2"/>
      <c r="E99" s="58"/>
      <c r="F99" s="6"/>
    </row>
    <row r="100" spans="1:6" s="50" customFormat="1" x14ac:dyDescent="0.2">
      <c r="A100" s="1"/>
      <c r="B100" s="1"/>
      <c r="C100" s="1"/>
      <c r="D100" s="1"/>
      <c r="E100" s="58"/>
      <c r="F100" s="1"/>
    </row>
    <row r="101" spans="1:6" s="50" customFormat="1" x14ac:dyDescent="0.2">
      <c r="A101" s="34"/>
      <c r="B101" s="34"/>
      <c r="C101" s="34"/>
      <c r="D101" s="34"/>
      <c r="E101" s="49"/>
      <c r="F101" s="34"/>
    </row>
    <row r="102" spans="1:6" s="50" customFormat="1" x14ac:dyDescent="0.2">
      <c r="A102" s="35"/>
      <c r="B102" s="35"/>
      <c r="C102" s="62"/>
      <c r="D102" s="35"/>
      <c r="E102" s="35"/>
      <c r="F102" s="62"/>
    </row>
    <row r="103" spans="1:6" s="50" customFormat="1" x14ac:dyDescent="0.2">
      <c r="A103" s="3"/>
      <c r="B103" s="3"/>
      <c r="C103" s="2"/>
      <c r="D103" s="2"/>
      <c r="E103" s="58"/>
      <c r="F103" s="6"/>
    </row>
    <row r="104" spans="1:6" s="50" customFormat="1" x14ac:dyDescent="0.2">
      <c r="A104" s="3"/>
      <c r="B104" s="3"/>
      <c r="C104" s="2"/>
      <c r="D104" s="2"/>
      <c r="E104" s="58"/>
      <c r="F104" s="6"/>
    </row>
    <row r="105" spans="1:6" s="50" customFormat="1" x14ac:dyDescent="0.2">
      <c r="A105" s="3"/>
      <c r="B105" s="3"/>
      <c r="C105" s="2"/>
      <c r="D105" s="2"/>
      <c r="E105" s="58"/>
      <c r="F105" s="6"/>
    </row>
    <row r="106" spans="1:6" s="50" customFormat="1" x14ac:dyDescent="0.2">
      <c r="A106" s="3"/>
      <c r="B106" s="3"/>
      <c r="C106" s="1"/>
      <c r="D106" s="1"/>
      <c r="E106" s="58"/>
      <c r="F106" s="6"/>
    </row>
    <row r="107" spans="1:6" s="50" customFormat="1" x14ac:dyDescent="0.2">
      <c r="A107" s="3"/>
      <c r="B107" s="3"/>
      <c r="C107" s="1"/>
      <c r="D107" s="1"/>
      <c r="E107" s="58"/>
      <c r="F107" s="6"/>
    </row>
    <row r="108" spans="1:6" s="50" customFormat="1" x14ac:dyDescent="0.2">
      <c r="A108" s="3"/>
      <c r="B108" s="3"/>
      <c r="C108" s="1"/>
      <c r="D108" s="1"/>
      <c r="E108" s="58"/>
      <c r="F108" s="6"/>
    </row>
    <row r="109" spans="1:6" s="50" customFormat="1" x14ac:dyDescent="0.2">
      <c r="A109" s="3"/>
      <c r="B109" s="3"/>
      <c r="C109" s="1"/>
      <c r="D109" s="1"/>
      <c r="E109" s="58"/>
      <c r="F109" s="6"/>
    </row>
    <row r="110" spans="1:6" s="50" customFormat="1" x14ac:dyDescent="0.2">
      <c r="A110" s="1"/>
      <c r="B110" s="1"/>
      <c r="C110" s="1"/>
      <c r="D110" s="1"/>
      <c r="E110" s="58"/>
      <c r="F110" s="1"/>
    </row>
    <row r="111" spans="1:6" s="50" customFormat="1" x14ac:dyDescent="0.2">
      <c r="A111" s="1"/>
      <c r="B111" s="1"/>
      <c r="C111" s="1"/>
      <c r="D111" s="1"/>
      <c r="E111" s="58"/>
      <c r="F111" s="1"/>
    </row>
    <row r="112" spans="1:6" s="50" customFormat="1" x14ac:dyDescent="0.2">
      <c r="A112" s="1"/>
      <c r="B112" s="1"/>
      <c r="C112" s="1"/>
      <c r="D112" s="1"/>
      <c r="E112" s="58"/>
      <c r="F112" s="1"/>
    </row>
    <row r="113" spans="1:6" s="50" customFormat="1" x14ac:dyDescent="0.2">
      <c r="A113" s="1"/>
      <c r="B113" s="1"/>
      <c r="C113" s="1"/>
      <c r="D113" s="1"/>
      <c r="E113" s="58"/>
      <c r="F113" s="1"/>
    </row>
    <row r="114" spans="1:6" s="50" customFormat="1" x14ac:dyDescent="0.2">
      <c r="A114" s="1"/>
      <c r="B114" s="1"/>
      <c r="C114" s="1"/>
      <c r="D114" s="1"/>
      <c r="E114" s="58"/>
      <c r="F114" s="1"/>
    </row>
    <row r="115" spans="1:6" s="50" customFormat="1" x14ac:dyDescent="0.2">
      <c r="A115" s="34"/>
      <c r="B115" s="34"/>
      <c r="C115" s="34"/>
      <c r="D115" s="34"/>
      <c r="E115" s="49"/>
      <c r="F115" s="34"/>
    </row>
    <row r="116" spans="1:6" s="50" customFormat="1" x14ac:dyDescent="0.2">
      <c r="A116" s="35"/>
      <c r="B116" s="35"/>
      <c r="C116" s="62"/>
      <c r="D116" s="35"/>
      <c r="E116" s="35"/>
      <c r="F116" s="62"/>
    </row>
    <row r="117" spans="1:6" x14ac:dyDescent="0.2">
      <c r="A117" s="40"/>
      <c r="B117" s="40"/>
      <c r="C117" s="41"/>
      <c r="D117" s="41"/>
      <c r="E117" s="61"/>
      <c r="F117" s="42"/>
    </row>
    <row r="118" spans="1:6" x14ac:dyDescent="0.2">
      <c r="A118" s="40"/>
      <c r="B118" s="40"/>
      <c r="C118" s="41"/>
      <c r="D118" s="41"/>
      <c r="E118" s="61"/>
      <c r="F118" s="42"/>
    </row>
    <row r="119" spans="1:6" x14ac:dyDescent="0.2">
      <c r="A119" s="40"/>
      <c r="B119" s="40"/>
      <c r="C119" s="41"/>
      <c r="D119" s="41"/>
      <c r="E119" s="61"/>
      <c r="F119" s="42"/>
    </row>
    <row r="120" spans="1:6" x14ac:dyDescent="0.2">
      <c r="A120" s="40"/>
      <c r="B120" s="40"/>
      <c r="C120" s="41"/>
      <c r="D120" s="41"/>
      <c r="E120" s="61"/>
      <c r="F120" s="42"/>
    </row>
    <row r="121" spans="1:6" x14ac:dyDescent="0.2">
      <c r="A121" s="40"/>
      <c r="B121" s="40"/>
      <c r="C121" s="41"/>
      <c r="D121" s="41"/>
      <c r="E121" s="61"/>
      <c r="F121" s="42"/>
    </row>
    <row r="122" spans="1:6" x14ac:dyDescent="0.2">
      <c r="A122" s="40"/>
      <c r="B122" s="40"/>
      <c r="C122" s="41"/>
      <c r="D122" s="41"/>
      <c r="E122" s="61"/>
      <c r="F122" s="42"/>
    </row>
    <row r="123" spans="1:6" x14ac:dyDescent="0.2">
      <c r="A123" s="40"/>
      <c r="B123" s="40"/>
      <c r="C123" s="41"/>
      <c r="D123" s="41"/>
      <c r="E123" s="61"/>
      <c r="F123" s="42"/>
    </row>
    <row r="124" spans="1:6" x14ac:dyDescent="0.2">
      <c r="A124" s="40"/>
      <c r="B124" s="40"/>
      <c r="C124" s="41"/>
      <c r="D124" s="41"/>
      <c r="E124" s="61"/>
      <c r="F124" s="42"/>
    </row>
    <row r="126" spans="1:6" x14ac:dyDescent="0.2">
      <c r="A126" s="34"/>
      <c r="B126" s="34"/>
      <c r="C126" s="34"/>
      <c r="D126" s="34"/>
      <c r="E126" s="49"/>
      <c r="F126" s="34"/>
    </row>
    <row r="127" spans="1:6" x14ac:dyDescent="0.2">
      <c r="A127" s="35"/>
      <c r="B127" s="35"/>
      <c r="C127" s="62"/>
      <c r="D127" s="35"/>
      <c r="E127" s="35"/>
      <c r="F127" s="62"/>
    </row>
    <row r="128" spans="1:6" x14ac:dyDescent="0.2">
      <c r="A128" s="40"/>
      <c r="B128" s="40"/>
      <c r="C128" s="41"/>
      <c r="D128" s="41"/>
      <c r="E128" s="61"/>
      <c r="F128" s="42"/>
    </row>
    <row r="129" spans="1:6" x14ac:dyDescent="0.2">
      <c r="A129" s="40"/>
      <c r="B129" s="40"/>
      <c r="C129" s="41"/>
      <c r="D129" s="41"/>
      <c r="E129" s="61"/>
      <c r="F129" s="42"/>
    </row>
    <row r="131" spans="1:6" x14ac:dyDescent="0.2">
      <c r="A131" s="34"/>
      <c r="B131" s="34"/>
      <c r="C131" s="34"/>
      <c r="D131" s="34"/>
      <c r="E131" s="49"/>
      <c r="F131" s="34"/>
    </row>
    <row r="132" spans="1:6" x14ac:dyDescent="0.2">
      <c r="A132" s="35"/>
      <c r="B132" s="35"/>
      <c r="C132" s="62"/>
      <c r="D132" s="35"/>
      <c r="E132" s="35"/>
      <c r="F132" s="62"/>
    </row>
    <row r="133" spans="1:6" x14ac:dyDescent="0.2">
      <c r="A133" s="40"/>
      <c r="B133" s="40"/>
      <c r="C133" s="41"/>
      <c r="D133" s="41"/>
      <c r="E133" s="61"/>
      <c r="F133" s="42"/>
    </row>
    <row r="134" spans="1:6" x14ac:dyDescent="0.2">
      <c r="A134" s="40"/>
      <c r="B134" s="40"/>
      <c r="C134" s="41"/>
      <c r="D134" s="41"/>
      <c r="E134" s="61"/>
      <c r="F134" s="42"/>
    </row>
    <row r="135" spans="1:6" x14ac:dyDescent="0.2">
      <c r="A135" s="40"/>
      <c r="B135" s="40"/>
      <c r="C135" s="41"/>
      <c r="D135" s="41"/>
      <c r="E135" s="61"/>
      <c r="F135" s="42"/>
    </row>
    <row r="136" spans="1:6" x14ac:dyDescent="0.2">
      <c r="A136" s="40"/>
      <c r="B136" s="40"/>
      <c r="C136" s="41"/>
      <c r="D136" s="41"/>
      <c r="E136" s="61"/>
      <c r="F136" s="42"/>
    </row>
    <row r="137" spans="1:6" x14ac:dyDescent="0.2">
      <c r="A137" s="40"/>
      <c r="B137" s="40"/>
      <c r="C137" s="41"/>
      <c r="D137" s="41"/>
      <c r="E137" s="61"/>
      <c r="F137" s="42"/>
    </row>
    <row r="138" spans="1:6" x14ac:dyDescent="0.2">
      <c r="A138" s="40"/>
      <c r="B138" s="40"/>
      <c r="C138" s="41"/>
      <c r="D138" s="41"/>
      <c r="E138" s="61"/>
      <c r="F138" s="42"/>
    </row>
    <row r="139" spans="1:6" x14ac:dyDescent="0.2">
      <c r="A139" s="40"/>
      <c r="B139" s="40"/>
      <c r="C139" s="41"/>
      <c r="D139" s="41"/>
      <c r="E139" s="61"/>
      <c r="F139" s="42"/>
    </row>
    <row r="140" spans="1:6" x14ac:dyDescent="0.2">
      <c r="A140" s="40"/>
      <c r="B140" s="40"/>
      <c r="C140" s="41"/>
      <c r="D140" s="41"/>
      <c r="E140" s="61"/>
      <c r="F140" s="42"/>
    </row>
    <row r="142" spans="1:6" x14ac:dyDescent="0.2">
      <c r="A142" s="34"/>
      <c r="B142" s="34"/>
      <c r="C142" s="34"/>
      <c r="D142" s="34"/>
      <c r="E142" s="49"/>
      <c r="F142" s="34"/>
    </row>
    <row r="143" spans="1:6" x14ac:dyDescent="0.2">
      <c r="A143" s="35"/>
      <c r="B143" s="35"/>
      <c r="C143" s="62"/>
      <c r="D143" s="35"/>
      <c r="E143" s="35"/>
      <c r="F143" s="62"/>
    </row>
    <row r="144" spans="1:6" x14ac:dyDescent="0.2">
      <c r="A144" s="40"/>
      <c r="B144" s="40"/>
      <c r="C144" s="41"/>
      <c r="D144" s="41"/>
      <c r="E144" s="61"/>
      <c r="F144" s="42"/>
    </row>
    <row r="145" spans="1:6" x14ac:dyDescent="0.2">
      <c r="A145" s="40"/>
      <c r="B145" s="40"/>
      <c r="C145" s="41"/>
      <c r="D145" s="41"/>
      <c r="E145" s="61"/>
      <c r="F145" s="42"/>
    </row>
    <row r="162" spans="1:6" x14ac:dyDescent="0.2">
      <c r="A162" s="34"/>
      <c r="B162" s="34"/>
      <c r="C162" s="34"/>
      <c r="D162" s="34"/>
      <c r="E162" s="49"/>
      <c r="F162" s="34"/>
    </row>
    <row r="163" spans="1:6" x14ac:dyDescent="0.2">
      <c r="A163" s="35"/>
      <c r="B163" s="35"/>
      <c r="C163" s="62"/>
      <c r="D163" s="35"/>
      <c r="E163" s="35"/>
      <c r="F163" s="62"/>
    </row>
    <row r="164" spans="1:6" x14ac:dyDescent="0.2">
      <c r="A164" s="3"/>
      <c r="B164" s="3"/>
      <c r="C164" s="2"/>
      <c r="D164" s="2"/>
      <c r="F164" s="6"/>
    </row>
    <row r="165" spans="1:6" x14ac:dyDescent="0.2">
      <c r="A165" s="3"/>
      <c r="B165" s="3"/>
      <c r="C165" s="2"/>
      <c r="D165" s="2"/>
      <c r="F165" s="6"/>
    </row>
    <row r="166" spans="1:6" x14ac:dyDescent="0.2">
      <c r="A166" s="3"/>
      <c r="B166" s="3"/>
      <c r="C166" s="2"/>
      <c r="D166" s="2"/>
      <c r="F166" s="6"/>
    </row>
    <row r="167" spans="1:6" x14ac:dyDescent="0.2">
      <c r="A167" s="3"/>
      <c r="B167" s="3"/>
      <c r="C167" s="2"/>
      <c r="D167" s="2"/>
      <c r="F167" s="6"/>
    </row>
    <row r="168" spans="1:6" x14ac:dyDescent="0.2">
      <c r="A168" s="3"/>
      <c r="B168" s="3"/>
      <c r="C168" s="2"/>
      <c r="D168" s="2"/>
      <c r="F168" s="6"/>
    </row>
    <row r="169" spans="1:6" x14ac:dyDescent="0.2">
      <c r="A169" s="3"/>
      <c r="B169" s="3"/>
      <c r="C169" s="2"/>
      <c r="D169" s="2"/>
      <c r="F169" s="6"/>
    </row>
    <row r="171" spans="1:6" x14ac:dyDescent="0.2">
      <c r="A171" s="34"/>
      <c r="B171" s="34"/>
      <c r="C171" s="34"/>
      <c r="D171" s="34"/>
      <c r="E171" s="49"/>
      <c r="F171" s="34"/>
    </row>
    <row r="172" spans="1:6" x14ac:dyDescent="0.2">
      <c r="A172" s="35"/>
      <c r="B172" s="35"/>
      <c r="C172" s="62"/>
      <c r="D172" s="35"/>
      <c r="E172" s="35"/>
      <c r="F172" s="62"/>
    </row>
    <row r="173" spans="1:6" x14ac:dyDescent="0.2">
      <c r="A173" s="3"/>
      <c r="B173" s="3"/>
      <c r="C173" s="2"/>
      <c r="D173" s="2"/>
      <c r="F173" s="6"/>
    </row>
    <row r="174" spans="1:6" x14ac:dyDescent="0.2">
      <c r="A174" s="3"/>
      <c r="B174" s="3"/>
      <c r="C174" s="2"/>
      <c r="D174" s="2"/>
      <c r="F174" s="6"/>
    </row>
    <row r="175" spans="1:6" x14ac:dyDescent="0.2">
      <c r="A175" s="3"/>
      <c r="B175" s="3"/>
      <c r="C175" s="2"/>
      <c r="D175" s="2"/>
      <c r="F175" s="6"/>
    </row>
    <row r="176" spans="1:6" x14ac:dyDescent="0.2">
      <c r="A176" s="3"/>
      <c r="B176" s="3"/>
      <c r="C176" s="2"/>
      <c r="D176" s="2"/>
      <c r="F176" s="6"/>
    </row>
    <row r="177" spans="1:6" x14ac:dyDescent="0.2">
      <c r="A177" s="3"/>
      <c r="B177" s="3"/>
      <c r="C177" s="2"/>
      <c r="D177" s="2"/>
      <c r="F177" s="6"/>
    </row>
    <row r="178" spans="1:6" x14ac:dyDescent="0.2">
      <c r="A178" s="3"/>
      <c r="B178" s="3"/>
      <c r="C178" s="2"/>
      <c r="D178" s="2"/>
      <c r="F178" s="6"/>
    </row>
    <row r="180" spans="1:6" x14ac:dyDescent="0.2">
      <c r="A180" s="34"/>
      <c r="B180" s="34"/>
      <c r="C180" s="34"/>
      <c r="D180" s="34"/>
      <c r="E180" s="49"/>
      <c r="F180" s="34"/>
    </row>
    <row r="181" spans="1:6" x14ac:dyDescent="0.2">
      <c r="A181" s="35"/>
      <c r="B181" s="35"/>
      <c r="C181" s="62"/>
      <c r="D181" s="35"/>
      <c r="E181" s="35"/>
      <c r="F181" s="62"/>
    </row>
    <row r="182" spans="1:6" x14ac:dyDescent="0.2">
      <c r="A182" s="3"/>
      <c r="B182" s="3"/>
      <c r="C182" s="2"/>
      <c r="D182" s="2"/>
      <c r="F182" s="6"/>
    </row>
    <row r="183" spans="1:6" x14ac:dyDescent="0.2">
      <c r="A183" s="3"/>
      <c r="B183" s="3"/>
      <c r="C183" s="2"/>
      <c r="D183" s="2"/>
      <c r="F183" s="6"/>
    </row>
    <row r="184" spans="1:6" x14ac:dyDescent="0.2">
      <c r="A184" s="3"/>
      <c r="B184" s="3"/>
      <c r="C184" s="2"/>
      <c r="D184" s="2"/>
      <c r="F184" s="6"/>
    </row>
    <row r="185" spans="1:6" x14ac:dyDescent="0.2">
      <c r="A185" s="3"/>
      <c r="B185" s="3"/>
      <c r="C185" s="2"/>
      <c r="D185" s="2"/>
      <c r="F185" s="6"/>
    </row>
    <row r="186" spans="1:6" x14ac:dyDescent="0.2">
      <c r="A186" s="3"/>
      <c r="B186" s="3"/>
      <c r="C186" s="2"/>
      <c r="D186" s="2"/>
      <c r="F186" s="6"/>
    </row>
    <row r="187" spans="1:6" x14ac:dyDescent="0.2">
      <c r="A187" s="3"/>
      <c r="B187" s="3"/>
      <c r="C187" s="2"/>
      <c r="D187" s="2"/>
      <c r="F187" s="6"/>
    </row>
    <row r="188" spans="1:6" x14ac:dyDescent="0.2">
      <c r="A188" s="3"/>
      <c r="B188" s="3"/>
      <c r="C188" s="2"/>
      <c r="D188" s="2"/>
      <c r="F188" s="6"/>
    </row>
    <row r="189" spans="1:6" x14ac:dyDescent="0.2">
      <c r="A189" s="3"/>
      <c r="B189" s="3"/>
      <c r="C189" s="2"/>
      <c r="D189" s="2"/>
      <c r="F189" s="6"/>
    </row>
    <row r="190" spans="1:6" x14ac:dyDescent="0.2">
      <c r="A190" s="3"/>
      <c r="B190" s="3"/>
      <c r="C190" s="2"/>
      <c r="D190" s="2"/>
      <c r="F190" s="6"/>
    </row>
  </sheetData>
  <mergeCells count="2">
    <mergeCell ref="A1:F3"/>
    <mergeCell ref="C59:D59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7CAF-1C1F-4CD4-89A8-B089A0EE06E1}">
  <dimension ref="A1:F164"/>
  <sheetViews>
    <sheetView showGridLines="0" topLeftCell="A15" zoomScaleNormal="100" workbookViewId="0">
      <selection activeCell="I25" sqref="I25"/>
    </sheetView>
  </sheetViews>
  <sheetFormatPr defaultColWidth="9.140625" defaultRowHeight="12.75" x14ac:dyDescent="0.2"/>
  <cols>
    <col min="1" max="1" width="10" style="1" customWidth="1"/>
    <col min="2" max="2" width="3.28515625" style="1" customWidth="1"/>
    <col min="3" max="3" width="11.42578125" style="1" customWidth="1"/>
    <col min="4" max="4" width="20.85546875" style="1" customWidth="1"/>
    <col min="5" max="5" width="35.28515625" style="58" customWidth="1"/>
    <col min="6" max="6" width="15.140625" style="5" bestFit="1" customWidth="1"/>
    <col min="7" max="7" width="10" style="1" customWidth="1"/>
    <col min="8" max="16384" width="9.140625" style="1"/>
  </cols>
  <sheetData>
    <row r="1" spans="1:6" ht="12.75" customHeight="1" x14ac:dyDescent="0.2">
      <c r="A1" s="226"/>
      <c r="B1" s="226"/>
      <c r="C1" s="226"/>
      <c r="D1" s="226"/>
      <c r="E1" s="226"/>
      <c r="F1" s="226"/>
    </row>
    <row r="2" spans="1:6" ht="12.75" customHeight="1" x14ac:dyDescent="0.2">
      <c r="A2" s="226"/>
      <c r="B2" s="226"/>
      <c r="C2" s="226"/>
      <c r="D2" s="226"/>
      <c r="E2" s="226"/>
      <c r="F2" s="226"/>
    </row>
    <row r="3" spans="1:6" ht="12.75" customHeight="1" x14ac:dyDescent="0.2">
      <c r="A3" s="226"/>
      <c r="B3" s="226"/>
      <c r="C3" s="226"/>
      <c r="D3" s="226"/>
      <c r="E3" s="226"/>
      <c r="F3" s="226"/>
    </row>
    <row r="4" spans="1:6" x14ac:dyDescent="0.2">
      <c r="C4" s="2"/>
      <c r="D4" s="3"/>
      <c r="E4" s="2"/>
      <c r="F4" s="4"/>
    </row>
    <row r="5" spans="1:6" ht="15" x14ac:dyDescent="0.2">
      <c r="A5" s="145" t="s">
        <v>261</v>
      </c>
      <c r="B5" s="145"/>
      <c r="C5" s="57"/>
      <c r="D5" s="57"/>
      <c r="E5" s="59"/>
      <c r="F5" s="67"/>
    </row>
    <row r="6" spans="1:6" x14ac:dyDescent="0.2">
      <c r="A6" s="12" t="s">
        <v>1</v>
      </c>
      <c r="B6" s="12"/>
      <c r="C6" s="12" t="s">
        <v>116</v>
      </c>
      <c r="D6" s="12"/>
      <c r="E6" s="12"/>
      <c r="F6" s="68" t="s">
        <v>5</v>
      </c>
    </row>
    <row r="7" spans="1:6" x14ac:dyDescent="0.2">
      <c r="A7" s="110">
        <v>1993</v>
      </c>
      <c r="B7" s="110"/>
      <c r="C7" s="236" t="s">
        <v>262</v>
      </c>
      <c r="D7" s="236"/>
      <c r="E7" s="236"/>
      <c r="F7" s="178">
        <v>880</v>
      </c>
    </row>
    <row r="8" spans="1:6" x14ac:dyDescent="0.2">
      <c r="A8" s="122">
        <v>9717</v>
      </c>
      <c r="B8" s="122"/>
      <c r="C8" s="138" t="s">
        <v>263</v>
      </c>
      <c r="D8" s="138"/>
      <c r="E8" s="138"/>
      <c r="F8" s="179">
        <v>1950</v>
      </c>
    </row>
    <row r="9" spans="1:6" x14ac:dyDescent="0.2">
      <c r="A9" s="110">
        <v>1927</v>
      </c>
      <c r="B9" s="110"/>
      <c r="C9" s="112" t="s">
        <v>264</v>
      </c>
      <c r="D9" s="112"/>
      <c r="E9" s="112"/>
      <c r="F9" s="178">
        <v>16</v>
      </c>
    </row>
    <row r="10" spans="1:6" s="199" customFormat="1" x14ac:dyDescent="0.2"/>
    <row r="11" spans="1:6" s="199" customFormat="1" ht="16.149999999999999" customHeight="1" x14ac:dyDescent="0.2">
      <c r="A11" s="145" t="s">
        <v>265</v>
      </c>
      <c r="B11" s="145"/>
      <c r="C11" s="57"/>
      <c r="D11" s="57"/>
      <c r="E11" s="59"/>
      <c r="F11" s="67"/>
    </row>
    <row r="12" spans="1:6" s="199" customFormat="1" ht="15" customHeight="1" x14ac:dyDescent="0.2">
      <c r="A12" s="12" t="s">
        <v>1</v>
      </c>
      <c r="B12" s="12"/>
      <c r="C12" s="12" t="s">
        <v>116</v>
      </c>
      <c r="D12" s="12"/>
      <c r="E12" s="12"/>
      <c r="F12" s="68" t="s">
        <v>5</v>
      </c>
    </row>
    <row r="13" spans="1:6" x14ac:dyDescent="0.2">
      <c r="A13" s="110">
        <v>1924</v>
      </c>
      <c r="B13" s="110"/>
      <c r="C13" s="112" t="s">
        <v>266</v>
      </c>
      <c r="D13" s="112"/>
      <c r="E13" s="112"/>
      <c r="F13" s="178">
        <v>880</v>
      </c>
    </row>
    <row r="14" spans="1:6" x14ac:dyDescent="0.2">
      <c r="A14" s="171"/>
      <c r="B14" s="171"/>
      <c r="C14" s="170"/>
      <c r="D14" s="170"/>
      <c r="E14" s="170"/>
      <c r="F14" s="201"/>
    </row>
    <row r="15" spans="1:6" ht="16.149999999999999" customHeight="1" x14ac:dyDescent="0.2">
      <c r="A15" s="145" t="s">
        <v>267</v>
      </c>
      <c r="B15" s="145"/>
      <c r="C15" s="57"/>
      <c r="D15" s="57"/>
      <c r="E15" s="59"/>
      <c r="F15" s="67"/>
    </row>
    <row r="16" spans="1:6" ht="15" customHeight="1" x14ac:dyDescent="0.2">
      <c r="A16" s="12" t="s">
        <v>1</v>
      </c>
      <c r="B16" s="12"/>
      <c r="C16" s="12" t="s">
        <v>116</v>
      </c>
      <c r="D16" s="12"/>
      <c r="E16" s="12"/>
      <c r="F16" s="68" t="s">
        <v>5</v>
      </c>
    </row>
    <row r="17" spans="1:6" ht="13.15" customHeight="1" x14ac:dyDescent="0.2">
      <c r="A17" s="110">
        <v>1991</v>
      </c>
      <c r="B17" s="110"/>
      <c r="C17" s="112" t="s">
        <v>268</v>
      </c>
      <c r="D17" s="112"/>
      <c r="E17" s="112"/>
      <c r="F17" s="178">
        <v>440</v>
      </c>
    </row>
    <row r="18" spans="1:6" ht="13.15" customHeight="1" x14ac:dyDescent="0.2">
      <c r="A18" s="122">
        <v>1992</v>
      </c>
      <c r="B18" s="122"/>
      <c r="C18" s="138" t="s">
        <v>269</v>
      </c>
      <c r="D18" s="138"/>
      <c r="E18" s="138"/>
      <c r="F18" s="179">
        <v>150</v>
      </c>
    </row>
    <row r="19" spans="1:6" x14ac:dyDescent="0.2">
      <c r="A19" s="110">
        <v>1994</v>
      </c>
      <c r="B19" s="110"/>
      <c r="C19" s="112" t="s">
        <v>270</v>
      </c>
      <c r="D19" s="112"/>
      <c r="E19" s="112"/>
      <c r="F19" s="178">
        <v>195</v>
      </c>
    </row>
    <row r="21" spans="1:6" ht="16.149999999999999" customHeight="1" x14ac:dyDescent="0.2">
      <c r="A21" s="145" t="s">
        <v>271</v>
      </c>
      <c r="B21" s="145"/>
      <c r="C21" s="57"/>
      <c r="D21" s="57"/>
      <c r="E21" s="59"/>
      <c r="F21" s="67"/>
    </row>
    <row r="22" spans="1:6" x14ac:dyDescent="0.2">
      <c r="A22" s="12" t="s">
        <v>1</v>
      </c>
      <c r="B22" s="12"/>
      <c r="C22" s="12" t="s">
        <v>116</v>
      </c>
      <c r="D22" s="12"/>
      <c r="E22" s="12"/>
      <c r="F22" s="68" t="s">
        <v>272</v>
      </c>
    </row>
    <row r="23" spans="1:6" ht="13.15" customHeight="1" x14ac:dyDescent="0.2">
      <c r="A23" s="110">
        <v>1914</v>
      </c>
      <c r="B23" s="110"/>
      <c r="C23" s="112" t="s">
        <v>273</v>
      </c>
      <c r="D23" s="112"/>
      <c r="E23" s="112"/>
      <c r="F23" s="178">
        <v>87</v>
      </c>
    </row>
    <row r="24" spans="1:6" x14ac:dyDescent="0.2">
      <c r="A24" s="122">
        <v>1915</v>
      </c>
      <c r="B24" s="122"/>
      <c r="C24" s="138" t="s">
        <v>274</v>
      </c>
      <c r="D24" s="138"/>
      <c r="E24" s="138"/>
      <c r="F24" s="179">
        <v>87</v>
      </c>
    </row>
    <row r="25" spans="1:6" x14ac:dyDescent="0.2">
      <c r="A25" s="110">
        <v>1912</v>
      </c>
      <c r="B25" s="110"/>
      <c r="C25" s="112" t="s">
        <v>275</v>
      </c>
      <c r="D25" s="112"/>
      <c r="E25" s="112"/>
      <c r="F25" s="178">
        <v>87</v>
      </c>
    </row>
    <row r="26" spans="1:6" x14ac:dyDescent="0.2">
      <c r="A26" s="122">
        <v>1916</v>
      </c>
      <c r="B26" s="122"/>
      <c r="C26" s="138" t="s">
        <v>276</v>
      </c>
      <c r="D26" s="138"/>
      <c r="E26" s="138"/>
      <c r="F26" s="179">
        <v>87</v>
      </c>
    </row>
    <row r="27" spans="1:6" x14ac:dyDescent="0.2">
      <c r="A27" s="110">
        <v>1919</v>
      </c>
      <c r="B27" s="110"/>
      <c r="C27" s="112" t="s">
        <v>277</v>
      </c>
      <c r="D27" s="112"/>
      <c r="E27" s="112"/>
      <c r="F27" s="178">
        <v>87</v>
      </c>
    </row>
    <row r="28" spans="1:6" x14ac:dyDescent="0.2">
      <c r="A28" s="122">
        <v>1920</v>
      </c>
      <c r="B28" s="122"/>
      <c r="C28" s="138" t="s">
        <v>278</v>
      </c>
      <c r="D28" s="138"/>
      <c r="E28" s="138"/>
      <c r="F28" s="179">
        <v>110</v>
      </c>
    </row>
    <row r="29" spans="1:6" ht="12.75" customHeight="1" x14ac:dyDescent="0.2">
      <c r="A29" s="239" t="s">
        <v>596</v>
      </c>
      <c r="B29" s="239"/>
      <c r="C29" s="239"/>
      <c r="D29" s="239"/>
      <c r="E29" s="239"/>
      <c r="F29" s="239"/>
    </row>
    <row r="30" spans="1:6" ht="12.75" customHeight="1" x14ac:dyDescent="0.2">
      <c r="A30" s="239" t="s">
        <v>597</v>
      </c>
      <c r="B30" s="239"/>
      <c r="C30" s="239"/>
      <c r="D30" s="239"/>
      <c r="E30" s="239"/>
      <c r="F30" s="239"/>
    </row>
    <row r="32" spans="1:6" s="50" customFormat="1" ht="15" x14ac:dyDescent="0.2">
      <c r="A32" s="145" t="s">
        <v>279</v>
      </c>
      <c r="B32" s="145"/>
      <c r="C32" s="57"/>
      <c r="D32" s="57"/>
      <c r="E32" s="59"/>
      <c r="F32" s="67"/>
    </row>
    <row r="33" spans="1:6" s="50" customFormat="1" ht="16.149999999999999" customHeight="1" x14ac:dyDescent="0.2">
      <c r="A33" s="184" t="s">
        <v>116</v>
      </c>
      <c r="B33" s="184"/>
      <c r="C33" s="197" t="s">
        <v>280</v>
      </c>
      <c r="D33" s="197"/>
      <c r="E33" s="197"/>
      <c r="F33" s="68"/>
    </row>
    <row r="34" spans="1:6" s="50" customFormat="1" ht="16.149999999999999" customHeight="1" x14ac:dyDescent="0.2">
      <c r="A34" s="112" t="s">
        <v>281</v>
      </c>
      <c r="B34" s="112"/>
      <c r="C34" s="112"/>
      <c r="D34" s="112"/>
      <c r="E34" s="185" t="s">
        <v>282</v>
      </c>
      <c r="F34" s="152"/>
    </row>
    <row r="35" spans="1:6" s="50" customFormat="1" x14ac:dyDescent="0.2">
      <c r="A35" s="138" t="s">
        <v>283</v>
      </c>
      <c r="B35" s="138"/>
      <c r="C35" s="138"/>
      <c r="D35" s="138"/>
      <c r="E35" s="186" t="s">
        <v>282</v>
      </c>
      <c r="F35" s="135"/>
    </row>
    <row r="36" spans="1:6" s="50" customFormat="1" x14ac:dyDescent="0.2">
      <c r="A36" s="112" t="s">
        <v>284</v>
      </c>
      <c r="B36" s="112"/>
      <c r="C36" s="112"/>
      <c r="D36" s="112"/>
      <c r="E36" s="185" t="s">
        <v>285</v>
      </c>
      <c r="F36" s="152"/>
    </row>
    <row r="37" spans="1:6" s="50" customFormat="1" ht="16.149999999999999" customHeight="1" x14ac:dyDescent="0.2">
      <c r="A37" s="138" t="s">
        <v>286</v>
      </c>
      <c r="B37" s="138"/>
      <c r="C37" s="138"/>
      <c r="D37" s="138"/>
      <c r="E37" s="186" t="s">
        <v>285</v>
      </c>
      <c r="F37" s="135"/>
    </row>
    <row r="38" spans="1:6" s="50" customFormat="1" x14ac:dyDescent="0.2">
      <c r="A38" s="112" t="s">
        <v>287</v>
      </c>
      <c r="B38" s="112"/>
      <c r="C38" s="112"/>
      <c r="D38" s="112"/>
      <c r="E38" s="185" t="s">
        <v>288</v>
      </c>
      <c r="F38" s="152"/>
    </row>
    <row r="39" spans="1:6" s="50" customFormat="1" ht="12.6" customHeight="1" x14ac:dyDescent="0.2">
      <c r="A39" s="138" t="s">
        <v>289</v>
      </c>
      <c r="B39" s="138"/>
      <c r="C39" s="138"/>
      <c r="D39" s="138"/>
      <c r="E39" s="186" t="s">
        <v>290</v>
      </c>
      <c r="F39" s="135"/>
    </row>
    <row r="40" spans="1:6" s="50" customFormat="1" ht="15" x14ac:dyDescent="0.2">
      <c r="A40" s="112" t="s">
        <v>291</v>
      </c>
      <c r="B40" s="112"/>
      <c r="C40" s="112"/>
      <c r="D40" s="112"/>
      <c r="E40" s="185" t="s">
        <v>292</v>
      </c>
      <c r="F40" s="152"/>
    </row>
    <row r="41" spans="1:6" s="50" customFormat="1" x14ac:dyDescent="0.2">
      <c r="A41" s="138" t="s">
        <v>293</v>
      </c>
      <c r="B41" s="138"/>
      <c r="C41" s="138"/>
      <c r="D41" s="138"/>
      <c r="E41" s="186" t="s">
        <v>294</v>
      </c>
      <c r="F41" s="135"/>
    </row>
    <row r="42" spans="1:6" s="50" customFormat="1" x14ac:dyDescent="0.2">
      <c r="A42" s="112" t="s">
        <v>295</v>
      </c>
      <c r="B42" s="112"/>
      <c r="C42" s="112"/>
      <c r="D42" s="112"/>
      <c r="E42" s="185" t="s">
        <v>296</v>
      </c>
      <c r="F42" s="152"/>
    </row>
    <row r="43" spans="1:6" s="50" customFormat="1" x14ac:dyDescent="0.2">
      <c r="A43" s="138" t="s">
        <v>297</v>
      </c>
      <c r="B43" s="138"/>
      <c r="C43" s="138"/>
      <c r="D43" s="138"/>
      <c r="E43" s="186" t="s">
        <v>298</v>
      </c>
      <c r="F43" s="135"/>
    </row>
    <row r="44" spans="1:6" s="50" customFormat="1" x14ac:dyDescent="0.2"/>
    <row r="45" spans="1:6" s="50" customFormat="1" x14ac:dyDescent="0.2">
      <c r="A45" s="204" t="s">
        <v>299</v>
      </c>
      <c r="B45" s="198"/>
      <c r="C45" s="198"/>
      <c r="D45" s="198"/>
      <c r="E45" s="198"/>
      <c r="F45" s="198"/>
    </row>
    <row r="46" spans="1:6" s="50" customFormat="1" ht="12.6" customHeight="1" x14ac:dyDescent="0.2">
      <c r="A46" s="240" t="s">
        <v>300</v>
      </c>
      <c r="B46" s="240"/>
      <c r="C46" s="240"/>
      <c r="D46" s="240"/>
      <c r="E46" s="240"/>
      <c r="F46" s="240"/>
    </row>
    <row r="47" spans="1:6" s="50" customFormat="1" ht="12.6" customHeight="1" x14ac:dyDescent="0.2">
      <c r="A47" s="240"/>
      <c r="B47" s="240"/>
      <c r="C47" s="240"/>
      <c r="D47" s="240"/>
      <c r="E47" s="240"/>
      <c r="F47" s="240"/>
    </row>
    <row r="48" spans="1:6" s="50" customFormat="1" ht="12.75" customHeight="1" x14ac:dyDescent="0.2">
      <c r="A48" s="240"/>
      <c r="B48" s="240"/>
      <c r="C48" s="240"/>
      <c r="D48" s="240"/>
      <c r="E48" s="240"/>
      <c r="F48" s="240"/>
    </row>
    <row r="49" spans="1:6" s="50" customFormat="1" x14ac:dyDescent="0.2"/>
    <row r="50" spans="1:6" s="50" customFormat="1" x14ac:dyDescent="0.2"/>
    <row r="51" spans="1:6" ht="16.149999999999999" customHeight="1" x14ac:dyDescent="0.2">
      <c r="A51" s="145" t="s">
        <v>301</v>
      </c>
      <c r="B51" s="145"/>
      <c r="C51" s="57"/>
      <c r="D51" s="57"/>
      <c r="E51" s="59"/>
      <c r="F51" s="67"/>
    </row>
    <row r="52" spans="1:6" x14ac:dyDescent="0.2">
      <c r="A52" s="12" t="s">
        <v>1</v>
      </c>
      <c r="B52" s="12"/>
      <c r="C52" s="238" t="s">
        <v>116</v>
      </c>
      <c r="D52" s="238"/>
      <c r="E52" s="238"/>
      <c r="F52" s="68" t="s">
        <v>5</v>
      </c>
    </row>
    <row r="53" spans="1:6" ht="12.75" customHeight="1" x14ac:dyDescent="0.2">
      <c r="A53" s="110">
        <v>16000</v>
      </c>
      <c r="B53" s="111"/>
      <c r="C53" s="112" t="s">
        <v>302</v>
      </c>
      <c r="D53" s="112"/>
      <c r="E53" s="112"/>
      <c r="F53" s="152">
        <v>10.6</v>
      </c>
    </row>
    <row r="54" spans="1:6" x14ac:dyDescent="0.2">
      <c r="A54" s="122">
        <v>16001</v>
      </c>
      <c r="B54" s="128" t="s">
        <v>23</v>
      </c>
      <c r="C54" s="138" t="s">
        <v>303</v>
      </c>
      <c r="D54" s="138"/>
      <c r="E54" s="138"/>
      <c r="F54" s="135">
        <v>20</v>
      </c>
    </row>
    <row r="55" spans="1:6" s="50" customFormat="1" x14ac:dyDescent="0.2">
      <c r="A55" s="110">
        <v>16002</v>
      </c>
      <c r="B55" s="114"/>
      <c r="C55" s="112" t="s">
        <v>304</v>
      </c>
      <c r="D55" s="112"/>
      <c r="E55" s="112"/>
      <c r="F55" s="152">
        <v>20</v>
      </c>
    </row>
    <row r="56" spans="1:6" s="50" customFormat="1" x14ac:dyDescent="0.2">
      <c r="A56" s="122">
        <v>16003</v>
      </c>
      <c r="B56" s="124"/>
      <c r="C56" s="138" t="s">
        <v>305</v>
      </c>
      <c r="D56" s="138"/>
      <c r="E56" s="138"/>
      <c r="F56" s="135">
        <v>20</v>
      </c>
    </row>
    <row r="57" spans="1:6" s="50" customFormat="1" x14ac:dyDescent="0.2">
      <c r="A57" s="110">
        <v>16004</v>
      </c>
      <c r="B57" s="111"/>
      <c r="C57" s="112" t="s">
        <v>306</v>
      </c>
      <c r="D57" s="112"/>
      <c r="E57" s="112"/>
      <c r="F57" s="152">
        <v>20</v>
      </c>
    </row>
    <row r="58" spans="1:6" s="50" customFormat="1" x14ac:dyDescent="0.2">
      <c r="A58" s="122">
        <v>16005</v>
      </c>
      <c r="B58" s="128" t="s">
        <v>23</v>
      </c>
      <c r="C58" s="138" t="s">
        <v>307</v>
      </c>
      <c r="D58" s="138"/>
      <c r="E58" s="138"/>
      <c r="F58" s="135">
        <v>20</v>
      </c>
    </row>
    <row r="59" spans="1:6" s="50" customFormat="1" x14ac:dyDescent="0.2">
      <c r="A59" s="110">
        <v>16006</v>
      </c>
      <c r="B59" s="115" t="s">
        <v>23</v>
      </c>
      <c r="C59" s="112" t="s">
        <v>308</v>
      </c>
      <c r="D59" s="112"/>
      <c r="E59" s="112"/>
      <c r="F59" s="152">
        <v>20</v>
      </c>
    </row>
    <row r="60" spans="1:6" s="50" customFormat="1" x14ac:dyDescent="0.2">
      <c r="A60" s="122">
        <v>16007</v>
      </c>
      <c r="B60" s="124"/>
      <c r="C60" s="138" t="s">
        <v>309</v>
      </c>
      <c r="D60" s="138"/>
      <c r="E60" s="138"/>
      <c r="F60" s="135">
        <v>20</v>
      </c>
    </row>
    <row r="61" spans="1:6" s="50" customFormat="1" x14ac:dyDescent="0.2">
      <c r="A61" s="110">
        <v>16008</v>
      </c>
      <c r="B61" s="115" t="s">
        <v>23</v>
      </c>
      <c r="C61" s="112" t="s">
        <v>310</v>
      </c>
      <c r="D61" s="112"/>
      <c r="E61" s="112"/>
      <c r="F61" s="152">
        <v>20</v>
      </c>
    </row>
    <row r="62" spans="1:6" s="50" customFormat="1" x14ac:dyDescent="0.2">
      <c r="A62" s="122">
        <v>16009</v>
      </c>
      <c r="B62" s="124"/>
      <c r="C62" s="138" t="s">
        <v>311</v>
      </c>
      <c r="D62" s="138"/>
      <c r="E62" s="138"/>
      <c r="F62" s="135">
        <v>20</v>
      </c>
    </row>
    <row r="63" spans="1:6" s="50" customFormat="1" x14ac:dyDescent="0.2">
      <c r="A63" s="110">
        <v>16010</v>
      </c>
      <c r="B63" s="114"/>
      <c r="C63" s="112" t="s">
        <v>312</v>
      </c>
      <c r="D63" s="112"/>
      <c r="E63" s="112"/>
      <c r="F63" s="152">
        <v>20</v>
      </c>
    </row>
    <row r="64" spans="1:6" s="50" customFormat="1" x14ac:dyDescent="0.2">
      <c r="A64" s="122">
        <v>16011</v>
      </c>
      <c r="B64" s="128" t="s">
        <v>23</v>
      </c>
      <c r="C64" s="138" t="s">
        <v>313</v>
      </c>
      <c r="D64" s="138"/>
      <c r="E64" s="138"/>
      <c r="F64" s="135">
        <v>20</v>
      </c>
    </row>
    <row r="65" spans="1:6" s="50" customFormat="1" x14ac:dyDescent="0.2">
      <c r="A65" s="110">
        <v>16012</v>
      </c>
      <c r="B65" s="114"/>
      <c r="C65" s="112" t="s">
        <v>314</v>
      </c>
      <c r="D65" s="112"/>
      <c r="E65" s="112"/>
      <c r="F65" s="152">
        <v>20</v>
      </c>
    </row>
    <row r="66" spans="1:6" s="50" customFormat="1" x14ac:dyDescent="0.2">
      <c r="A66" s="122">
        <v>16013</v>
      </c>
      <c r="B66" s="124"/>
      <c r="C66" s="138" t="s">
        <v>315</v>
      </c>
      <c r="D66" s="138"/>
      <c r="E66" s="138"/>
      <c r="F66" s="135">
        <v>20</v>
      </c>
    </row>
    <row r="67" spans="1:6" s="50" customFormat="1" x14ac:dyDescent="0.2">
      <c r="A67" s="110">
        <v>16014</v>
      </c>
      <c r="B67" s="111"/>
      <c r="C67" s="112" t="s">
        <v>316</v>
      </c>
      <c r="D67" s="112"/>
      <c r="E67" s="112"/>
      <c r="F67" s="152">
        <v>20</v>
      </c>
    </row>
    <row r="68" spans="1:6" s="50" customFormat="1" x14ac:dyDescent="0.2">
      <c r="A68" s="122">
        <v>16015</v>
      </c>
      <c r="B68" s="128" t="s">
        <v>23</v>
      </c>
      <c r="C68" s="138" t="s">
        <v>317</v>
      </c>
      <c r="D68" s="138"/>
      <c r="E68" s="138"/>
      <c r="F68" s="135">
        <v>20</v>
      </c>
    </row>
    <row r="69" spans="1:6" s="50" customFormat="1" x14ac:dyDescent="0.2">
      <c r="A69" s="110">
        <v>16016</v>
      </c>
      <c r="B69" s="115" t="s">
        <v>23</v>
      </c>
      <c r="C69" s="112" t="s">
        <v>318</v>
      </c>
      <c r="D69" s="112"/>
      <c r="E69" s="112"/>
      <c r="F69" s="152">
        <v>20</v>
      </c>
    </row>
    <row r="70" spans="1:6" s="50" customFormat="1" x14ac:dyDescent="0.2">
      <c r="A70" s="122">
        <v>16017</v>
      </c>
      <c r="B70" s="124"/>
      <c r="C70" s="138" t="s">
        <v>319</v>
      </c>
      <c r="D70" s="138"/>
      <c r="E70" s="138"/>
      <c r="F70" s="135">
        <v>20</v>
      </c>
    </row>
    <row r="71" spans="1:6" s="50" customFormat="1" x14ac:dyDescent="0.2">
      <c r="A71" s="110">
        <v>16018</v>
      </c>
      <c r="B71" s="115" t="s">
        <v>23</v>
      </c>
      <c r="C71" s="112" t="s">
        <v>320</v>
      </c>
      <c r="D71" s="112"/>
      <c r="E71" s="112"/>
      <c r="F71" s="152">
        <v>20</v>
      </c>
    </row>
    <row r="72" spans="1:6" s="50" customFormat="1" x14ac:dyDescent="0.2">
      <c r="A72" s="122">
        <v>16019</v>
      </c>
      <c r="B72" s="128" t="s">
        <v>23</v>
      </c>
      <c r="C72" s="138" t="s">
        <v>321</v>
      </c>
      <c r="D72" s="138"/>
      <c r="E72" s="138"/>
      <c r="F72" s="135">
        <v>20</v>
      </c>
    </row>
    <row r="73" spans="1:6" s="50" customFormat="1" x14ac:dyDescent="0.2">
      <c r="A73" s="110">
        <v>16020</v>
      </c>
      <c r="B73" s="114"/>
      <c r="C73" s="112" t="s">
        <v>322</v>
      </c>
      <c r="D73" s="112"/>
      <c r="E73" s="112"/>
      <c r="F73" s="152">
        <v>20</v>
      </c>
    </row>
    <row r="74" spans="1:6" s="50" customFormat="1" x14ac:dyDescent="0.2">
      <c r="A74" s="122">
        <v>16021</v>
      </c>
      <c r="B74" s="124"/>
      <c r="C74" s="138" t="s">
        <v>323</v>
      </c>
      <c r="D74" s="138"/>
      <c r="E74" s="138"/>
      <c r="F74" s="135">
        <v>20</v>
      </c>
    </row>
    <row r="75" spans="1:6" s="50" customFormat="1" x14ac:dyDescent="0.2">
      <c r="A75" s="110">
        <v>16022</v>
      </c>
      <c r="B75" s="115" t="s">
        <v>23</v>
      </c>
      <c r="C75" s="112" t="s">
        <v>324</v>
      </c>
      <c r="D75" s="112"/>
      <c r="E75" s="112"/>
      <c r="F75" s="152">
        <v>20</v>
      </c>
    </row>
    <row r="76" spans="1:6" s="50" customFormat="1" x14ac:dyDescent="0.2">
      <c r="A76" s="122">
        <v>16023</v>
      </c>
      <c r="B76" s="124"/>
      <c r="C76" s="138" t="s">
        <v>325</v>
      </c>
      <c r="D76" s="138"/>
      <c r="E76" s="138"/>
      <c r="F76" s="135">
        <v>20</v>
      </c>
    </row>
    <row r="77" spans="1:6" s="50" customFormat="1" x14ac:dyDescent="0.2">
      <c r="A77" s="110">
        <v>16024</v>
      </c>
      <c r="B77" s="111"/>
      <c r="C77" s="112" t="s">
        <v>326</v>
      </c>
      <c r="D77" s="112"/>
      <c r="E77" s="112"/>
      <c r="F77" s="152">
        <v>20</v>
      </c>
    </row>
    <row r="78" spans="1:6" s="50" customFormat="1" x14ac:dyDescent="0.2">
      <c r="A78" s="122">
        <v>16025</v>
      </c>
      <c r="B78" s="124"/>
      <c r="C78" s="138" t="s">
        <v>327</v>
      </c>
      <c r="D78" s="138"/>
      <c r="E78" s="138"/>
      <c r="F78" s="135">
        <v>20</v>
      </c>
    </row>
    <row r="79" spans="1:6" s="50" customFormat="1" x14ac:dyDescent="0.2">
      <c r="A79" s="110">
        <v>16026</v>
      </c>
      <c r="B79" s="115" t="s">
        <v>23</v>
      </c>
      <c r="C79" s="112" t="s">
        <v>328</v>
      </c>
      <c r="D79" s="112"/>
      <c r="E79" s="112"/>
      <c r="F79" s="152">
        <v>20</v>
      </c>
    </row>
    <row r="80" spans="1:6" s="50" customFormat="1" x14ac:dyDescent="0.2">
      <c r="A80" s="122">
        <v>16027</v>
      </c>
      <c r="B80" s="124"/>
      <c r="C80" s="138" t="s">
        <v>329</v>
      </c>
      <c r="D80" s="138"/>
      <c r="E80" s="138"/>
      <c r="F80" s="135">
        <v>20</v>
      </c>
    </row>
    <row r="81" spans="1:6" s="50" customFormat="1" x14ac:dyDescent="0.2">
      <c r="A81" s="110">
        <v>16028</v>
      </c>
      <c r="B81" s="115" t="s">
        <v>23</v>
      </c>
      <c r="C81" s="112" t="s">
        <v>330</v>
      </c>
      <c r="D81" s="112"/>
      <c r="E81" s="112"/>
      <c r="F81" s="152">
        <v>20</v>
      </c>
    </row>
    <row r="82" spans="1:6" s="50" customFormat="1" x14ac:dyDescent="0.2">
      <c r="A82" s="122">
        <v>16029</v>
      </c>
      <c r="B82" s="124"/>
      <c r="C82" s="138" t="s">
        <v>331</v>
      </c>
      <c r="D82" s="138"/>
      <c r="E82" s="138"/>
      <c r="F82" s="135">
        <v>20</v>
      </c>
    </row>
    <row r="83" spans="1:6" s="50" customFormat="1" x14ac:dyDescent="0.2">
      <c r="A83" s="110">
        <v>16030</v>
      </c>
      <c r="B83" s="114"/>
      <c r="C83" s="112" t="s">
        <v>332</v>
      </c>
      <c r="D83" s="112"/>
      <c r="E83" s="112"/>
      <c r="F83" s="152">
        <v>20</v>
      </c>
    </row>
    <row r="84" spans="1:6" s="50" customFormat="1" x14ac:dyDescent="0.2"/>
    <row r="85" spans="1:6" s="50" customFormat="1" ht="16.149999999999999" customHeight="1" x14ac:dyDescent="0.2">
      <c r="A85" s="145" t="s">
        <v>333</v>
      </c>
      <c r="B85" s="145"/>
      <c r="C85" s="57"/>
      <c r="D85" s="57"/>
      <c r="E85" s="59"/>
      <c r="F85" s="67"/>
    </row>
    <row r="86" spans="1:6" s="50" customFormat="1" x14ac:dyDescent="0.2">
      <c r="A86" s="12" t="s">
        <v>1</v>
      </c>
      <c r="B86" s="12"/>
      <c r="C86" s="238" t="s">
        <v>116</v>
      </c>
      <c r="D86" s="238"/>
      <c r="E86" s="238"/>
      <c r="F86" s="68" t="s">
        <v>5</v>
      </c>
    </row>
    <row r="87" spans="1:6" s="50" customFormat="1" x14ac:dyDescent="0.2">
      <c r="A87" s="110">
        <v>1601</v>
      </c>
      <c r="B87" s="115" t="s">
        <v>23</v>
      </c>
      <c r="C87" s="112" t="s">
        <v>29</v>
      </c>
      <c r="D87" s="112"/>
      <c r="E87" s="112"/>
      <c r="F87" s="178">
        <v>8.9</v>
      </c>
    </row>
    <row r="88" spans="1:6" s="50" customFormat="1" x14ac:dyDescent="0.2">
      <c r="A88" s="122">
        <v>1602</v>
      </c>
      <c r="B88" s="128" t="s">
        <v>23</v>
      </c>
      <c r="C88" s="138" t="s">
        <v>53</v>
      </c>
      <c r="D88" s="138"/>
      <c r="E88" s="138"/>
      <c r="F88" s="179">
        <v>8.9</v>
      </c>
    </row>
    <row r="89" spans="1:6" s="50" customFormat="1" x14ac:dyDescent="0.2">
      <c r="A89" s="110">
        <v>1603</v>
      </c>
      <c r="B89" s="115" t="s">
        <v>23</v>
      </c>
      <c r="C89" s="112" t="s">
        <v>61</v>
      </c>
      <c r="D89" s="112"/>
      <c r="E89" s="112"/>
      <c r="F89" s="178">
        <v>8.9</v>
      </c>
    </row>
    <row r="90" spans="1:6" s="50" customFormat="1" x14ac:dyDescent="0.2">
      <c r="A90" s="122">
        <v>1604</v>
      </c>
      <c r="B90" s="128" t="s">
        <v>23</v>
      </c>
      <c r="C90" s="138" t="s">
        <v>66</v>
      </c>
      <c r="D90" s="138"/>
      <c r="E90" s="138"/>
      <c r="F90" s="179">
        <v>8.9</v>
      </c>
    </row>
    <row r="91" spans="1:6" s="50" customFormat="1" x14ac:dyDescent="0.2">
      <c r="A91" s="110">
        <v>1605</v>
      </c>
      <c r="B91" s="115" t="s">
        <v>23</v>
      </c>
      <c r="C91" s="112" t="s">
        <v>50</v>
      </c>
      <c r="D91" s="112"/>
      <c r="E91" s="112"/>
      <c r="F91" s="178">
        <v>8.9</v>
      </c>
    </row>
    <row r="92" spans="1:6" s="50" customFormat="1" x14ac:dyDescent="0.2">
      <c r="A92" s="122">
        <v>1606</v>
      </c>
      <c r="B92" s="128" t="s">
        <v>23</v>
      </c>
      <c r="C92" s="138" t="s">
        <v>40</v>
      </c>
      <c r="D92" s="138"/>
      <c r="E92" s="138"/>
      <c r="F92" s="179">
        <v>8.9</v>
      </c>
    </row>
    <row r="93" spans="1:6" s="50" customFormat="1" x14ac:dyDescent="0.2">
      <c r="A93" s="110">
        <v>1607</v>
      </c>
      <c r="B93" s="115" t="s">
        <v>23</v>
      </c>
      <c r="C93" s="112" t="s">
        <v>334</v>
      </c>
      <c r="D93" s="112"/>
      <c r="E93" s="112"/>
      <c r="F93" s="178">
        <v>8.9</v>
      </c>
    </row>
    <row r="94" spans="1:6" s="50" customFormat="1" x14ac:dyDescent="0.2">
      <c r="A94" s="122">
        <v>1608</v>
      </c>
      <c r="B94" s="128" t="s">
        <v>23</v>
      </c>
      <c r="C94" s="138" t="s">
        <v>80</v>
      </c>
      <c r="D94" s="138"/>
      <c r="E94" s="138"/>
      <c r="F94" s="179">
        <v>8.9</v>
      </c>
    </row>
    <row r="95" spans="1:6" s="50" customFormat="1" x14ac:dyDescent="0.2">
      <c r="A95" s="110">
        <v>1609</v>
      </c>
      <c r="B95" s="115" t="s">
        <v>23</v>
      </c>
      <c r="C95" s="112" t="s">
        <v>84</v>
      </c>
      <c r="D95" s="112"/>
      <c r="E95" s="112"/>
      <c r="F95" s="178">
        <v>8.9</v>
      </c>
    </row>
    <row r="96" spans="1:6" s="50" customFormat="1" x14ac:dyDescent="0.2">
      <c r="A96" s="122">
        <v>1610</v>
      </c>
      <c r="B96" s="128" t="s">
        <v>23</v>
      </c>
      <c r="C96" s="235" t="s">
        <v>46</v>
      </c>
      <c r="D96" s="235"/>
      <c r="E96" s="235"/>
      <c r="F96" s="179">
        <v>8.9</v>
      </c>
    </row>
    <row r="97" spans="1:6" s="50" customFormat="1" x14ac:dyDescent="0.2">
      <c r="A97" s="110">
        <v>1611</v>
      </c>
      <c r="B97" s="115" t="s">
        <v>23</v>
      </c>
      <c r="C97" s="236" t="s">
        <v>41</v>
      </c>
      <c r="D97" s="236"/>
      <c r="E97" s="236"/>
      <c r="F97" s="178">
        <v>8.9</v>
      </c>
    </row>
    <row r="98" spans="1:6" s="50" customFormat="1" x14ac:dyDescent="0.2">
      <c r="A98" s="3"/>
      <c r="B98" s="3"/>
      <c r="C98" s="2"/>
      <c r="D98" s="2"/>
      <c r="E98" s="58"/>
      <c r="F98" s="5"/>
    </row>
    <row r="99" spans="1:6" s="50" customFormat="1" ht="15" x14ac:dyDescent="0.2">
      <c r="A99" s="156" t="s">
        <v>335</v>
      </c>
      <c r="B99" s="156"/>
      <c r="C99" s="154"/>
      <c r="D99" s="154"/>
      <c r="E99" s="157"/>
      <c r="F99" s="161"/>
    </row>
    <row r="100" spans="1:6" s="50" customFormat="1" ht="16.149999999999999" customHeight="1" x14ac:dyDescent="0.2">
      <c r="A100" s="158" t="s">
        <v>1</v>
      </c>
      <c r="B100" s="158"/>
      <c r="C100" s="237" t="s">
        <v>116</v>
      </c>
      <c r="D100" s="237"/>
      <c r="E100" s="237"/>
      <c r="F100" s="160" t="s">
        <v>5</v>
      </c>
    </row>
    <row r="101" spans="1:6" s="50" customFormat="1" x14ac:dyDescent="0.2">
      <c r="A101" s="110">
        <v>16031</v>
      </c>
      <c r="B101" s="110"/>
      <c r="C101" s="236" t="s">
        <v>336</v>
      </c>
      <c r="D101" s="236"/>
      <c r="E101" s="236"/>
      <c r="F101" s="152">
        <v>3750</v>
      </c>
    </row>
    <row r="102" spans="1:6" s="50" customFormat="1" x14ac:dyDescent="0.2">
      <c r="A102" s="122">
        <v>16032</v>
      </c>
      <c r="B102" s="122"/>
      <c r="C102" s="235" t="s">
        <v>337</v>
      </c>
      <c r="D102" s="235"/>
      <c r="E102" s="235"/>
      <c r="F102" s="135">
        <v>1250</v>
      </c>
    </row>
    <row r="103" spans="1:6" s="50" customFormat="1" x14ac:dyDescent="0.2">
      <c r="A103" s="3"/>
      <c r="B103" s="3"/>
      <c r="C103" s="58"/>
      <c r="D103" s="58"/>
      <c r="E103" s="58"/>
      <c r="F103" s="5"/>
    </row>
    <row r="104" spans="1:6" s="50" customFormat="1" x14ac:dyDescent="0.2">
      <c r="A104" s="3"/>
      <c r="B104" s="3"/>
      <c r="C104" s="58"/>
      <c r="D104" s="58"/>
      <c r="E104" s="58"/>
      <c r="F104" s="5"/>
    </row>
    <row r="105" spans="1:6" s="50" customFormat="1" x14ac:dyDescent="0.2">
      <c r="A105" s="3"/>
      <c r="B105" s="3"/>
      <c r="C105" s="58"/>
      <c r="D105" s="58"/>
      <c r="E105" s="58"/>
      <c r="F105" s="5"/>
    </row>
    <row r="106" spans="1:6" s="50" customFormat="1" x14ac:dyDescent="0.2">
      <c r="A106" s="3"/>
      <c r="B106" s="3"/>
      <c r="C106" s="58"/>
      <c r="D106" s="58"/>
      <c r="E106" s="58"/>
      <c r="F106" s="5"/>
    </row>
    <row r="107" spans="1:6" s="50" customFormat="1" x14ac:dyDescent="0.2">
      <c r="A107" s="3"/>
      <c r="B107" s="3"/>
      <c r="C107" s="58"/>
      <c r="D107" s="58"/>
      <c r="E107" s="58"/>
      <c r="F107" s="5"/>
    </row>
    <row r="108" spans="1:6" x14ac:dyDescent="0.2">
      <c r="A108" s="40"/>
      <c r="B108" s="40"/>
      <c r="C108" s="41"/>
      <c r="D108" s="41"/>
      <c r="E108" s="61"/>
      <c r="F108" s="51"/>
    </row>
    <row r="109" spans="1:6" x14ac:dyDescent="0.2">
      <c r="A109" s="40"/>
      <c r="B109" s="40"/>
      <c r="C109" s="41"/>
      <c r="D109" s="41"/>
      <c r="E109" s="61"/>
      <c r="F109" s="51"/>
    </row>
    <row r="110" spans="1:6" x14ac:dyDescent="0.2">
      <c r="A110" s="40"/>
      <c r="B110" s="40"/>
      <c r="C110" s="41"/>
      <c r="D110" s="41"/>
      <c r="E110" s="61"/>
      <c r="F110" s="51"/>
    </row>
    <row r="111" spans="1:6" x14ac:dyDescent="0.2">
      <c r="A111" s="40"/>
      <c r="B111" s="40"/>
      <c r="C111" s="41"/>
      <c r="D111" s="41"/>
      <c r="E111" s="61"/>
      <c r="F111" s="51"/>
    </row>
    <row r="112" spans="1:6" x14ac:dyDescent="0.2">
      <c r="A112" s="40"/>
      <c r="B112" s="40"/>
      <c r="C112" s="41"/>
      <c r="D112" s="41"/>
      <c r="E112" s="61"/>
      <c r="F112" s="51"/>
    </row>
    <row r="113" spans="1:6" x14ac:dyDescent="0.2">
      <c r="A113" s="40"/>
      <c r="B113" s="40"/>
      <c r="C113" s="41"/>
      <c r="D113" s="41"/>
      <c r="E113" s="61"/>
      <c r="F113" s="51"/>
    </row>
    <row r="114" spans="1:6" x14ac:dyDescent="0.2">
      <c r="A114" s="40"/>
      <c r="B114" s="40"/>
      <c r="C114" s="41"/>
      <c r="D114" s="41"/>
      <c r="E114" s="61"/>
      <c r="F114" s="51"/>
    </row>
    <row r="116" spans="1:6" x14ac:dyDescent="0.2">
      <c r="A116" s="34"/>
      <c r="B116" s="34"/>
      <c r="C116" s="34"/>
      <c r="D116" s="34"/>
      <c r="E116" s="49"/>
      <c r="F116" s="69"/>
    </row>
    <row r="117" spans="1:6" x14ac:dyDescent="0.2">
      <c r="A117" s="35"/>
      <c r="B117" s="35"/>
      <c r="C117" s="62"/>
      <c r="D117" s="35"/>
      <c r="E117" s="35"/>
      <c r="F117" s="70"/>
    </row>
    <row r="118" spans="1:6" x14ac:dyDescent="0.2">
      <c r="A118" s="40"/>
      <c r="B118" s="40"/>
      <c r="C118" s="41"/>
      <c r="D118" s="41"/>
      <c r="E118" s="61"/>
      <c r="F118" s="51"/>
    </row>
    <row r="119" spans="1:6" x14ac:dyDescent="0.2">
      <c r="A119" s="40"/>
      <c r="B119" s="40"/>
      <c r="C119" s="41"/>
      <c r="D119" s="41"/>
      <c r="E119" s="61"/>
      <c r="F119" s="51"/>
    </row>
    <row r="136" spans="1:6" x14ac:dyDescent="0.2">
      <c r="A136" s="34"/>
      <c r="B136" s="34"/>
      <c r="C136" s="34"/>
      <c r="D136" s="34"/>
      <c r="E136" s="49"/>
      <c r="F136" s="69"/>
    </row>
    <row r="137" spans="1:6" x14ac:dyDescent="0.2">
      <c r="A137" s="35"/>
      <c r="B137" s="35"/>
      <c r="C137" s="62"/>
      <c r="D137" s="35"/>
      <c r="E137" s="35"/>
      <c r="F137" s="70"/>
    </row>
    <row r="138" spans="1:6" x14ac:dyDescent="0.2">
      <c r="A138" s="3"/>
      <c r="B138" s="3"/>
      <c r="C138" s="2"/>
      <c r="D138" s="2"/>
    </row>
    <row r="139" spans="1:6" x14ac:dyDescent="0.2">
      <c r="A139" s="3"/>
      <c r="B139" s="3"/>
      <c r="C139" s="2"/>
      <c r="D139" s="2"/>
    </row>
    <row r="140" spans="1:6" x14ac:dyDescent="0.2">
      <c r="A140" s="3"/>
      <c r="B140" s="3"/>
      <c r="C140" s="2"/>
      <c r="D140" s="2"/>
    </row>
    <row r="141" spans="1:6" x14ac:dyDescent="0.2">
      <c r="A141" s="3"/>
      <c r="B141" s="3"/>
      <c r="C141" s="2"/>
      <c r="D141" s="2"/>
    </row>
    <row r="142" spans="1:6" x14ac:dyDescent="0.2">
      <c r="A142" s="3"/>
      <c r="B142" s="3"/>
      <c r="C142" s="2"/>
      <c r="D142" s="2"/>
    </row>
    <row r="143" spans="1:6" x14ac:dyDescent="0.2">
      <c r="A143" s="3"/>
      <c r="B143" s="3"/>
      <c r="C143" s="2"/>
      <c r="D143" s="2"/>
    </row>
    <row r="145" spans="1:6" x14ac:dyDescent="0.2">
      <c r="A145" s="34"/>
      <c r="B145" s="34"/>
      <c r="C145" s="34"/>
      <c r="D145" s="34"/>
      <c r="E145" s="49"/>
      <c r="F145" s="69"/>
    </row>
    <row r="146" spans="1:6" x14ac:dyDescent="0.2">
      <c r="A146" s="35"/>
      <c r="B146" s="35"/>
      <c r="C146" s="62"/>
      <c r="D146" s="35"/>
      <c r="E146" s="35"/>
      <c r="F146" s="70"/>
    </row>
    <row r="147" spans="1:6" x14ac:dyDescent="0.2">
      <c r="A147" s="3"/>
      <c r="B147" s="3"/>
      <c r="C147" s="2"/>
      <c r="D147" s="2"/>
    </row>
    <row r="148" spans="1:6" x14ac:dyDescent="0.2">
      <c r="A148" s="3"/>
      <c r="B148" s="3"/>
      <c r="C148" s="2"/>
      <c r="D148" s="2"/>
    </row>
    <row r="149" spans="1:6" x14ac:dyDescent="0.2">
      <c r="A149" s="3"/>
      <c r="B149" s="3"/>
      <c r="C149" s="2"/>
      <c r="D149" s="2"/>
    </row>
    <row r="150" spans="1:6" x14ac:dyDescent="0.2">
      <c r="A150" s="3"/>
      <c r="B150" s="3"/>
      <c r="C150" s="2"/>
      <c r="D150" s="2"/>
    </row>
    <row r="151" spans="1:6" x14ac:dyDescent="0.2">
      <c r="A151" s="3"/>
      <c r="B151" s="3"/>
      <c r="C151" s="2"/>
      <c r="D151" s="2"/>
    </row>
    <row r="152" spans="1:6" x14ac:dyDescent="0.2">
      <c r="A152" s="3"/>
      <c r="B152" s="3"/>
      <c r="C152" s="2"/>
      <c r="D152" s="2"/>
    </row>
    <row r="154" spans="1:6" x14ac:dyDescent="0.2">
      <c r="A154" s="34"/>
      <c r="B154" s="34"/>
      <c r="C154" s="34"/>
      <c r="D154" s="34"/>
      <c r="E154" s="49"/>
      <c r="F154" s="69"/>
    </row>
    <row r="155" spans="1:6" x14ac:dyDescent="0.2">
      <c r="A155" s="35"/>
      <c r="B155" s="35"/>
      <c r="C155" s="62"/>
      <c r="D155" s="35"/>
      <c r="E155" s="35"/>
      <c r="F155" s="70"/>
    </row>
    <row r="156" spans="1:6" x14ac:dyDescent="0.2">
      <c r="A156" s="3"/>
      <c r="B156" s="3"/>
      <c r="C156" s="2"/>
      <c r="D156" s="2"/>
    </row>
    <row r="157" spans="1:6" x14ac:dyDescent="0.2">
      <c r="A157" s="3"/>
      <c r="B157" s="3"/>
      <c r="C157" s="2"/>
      <c r="D157" s="2"/>
    </row>
    <row r="158" spans="1:6" x14ac:dyDescent="0.2">
      <c r="A158" s="3"/>
      <c r="B158" s="3"/>
      <c r="C158" s="2"/>
      <c r="D158" s="2"/>
    </row>
    <row r="159" spans="1:6" x14ac:dyDescent="0.2">
      <c r="A159" s="3"/>
      <c r="B159" s="3"/>
      <c r="C159" s="2"/>
      <c r="D159" s="2"/>
    </row>
    <row r="160" spans="1:6" x14ac:dyDescent="0.2">
      <c r="A160" s="3"/>
      <c r="B160" s="3"/>
      <c r="C160" s="2"/>
      <c r="D160" s="2"/>
    </row>
    <row r="161" spans="1:4" x14ac:dyDescent="0.2">
      <c r="A161" s="3"/>
      <c r="B161" s="3"/>
      <c r="C161" s="2"/>
      <c r="D161" s="2"/>
    </row>
    <row r="162" spans="1:4" x14ac:dyDescent="0.2">
      <c r="A162" s="3"/>
      <c r="B162" s="3"/>
      <c r="C162" s="2"/>
      <c r="D162" s="2"/>
    </row>
    <row r="163" spans="1:4" x14ac:dyDescent="0.2">
      <c r="A163" s="3"/>
      <c r="B163" s="3"/>
      <c r="C163" s="2"/>
      <c r="D163" s="2"/>
    </row>
    <row r="164" spans="1:4" x14ac:dyDescent="0.2">
      <c r="A164" s="3"/>
      <c r="B164" s="3"/>
      <c r="C164" s="2"/>
      <c r="D164" s="2"/>
    </row>
  </sheetData>
  <mergeCells count="12">
    <mergeCell ref="C52:E52"/>
    <mergeCell ref="A1:F3"/>
    <mergeCell ref="C7:E7"/>
    <mergeCell ref="C101:E101"/>
    <mergeCell ref="A29:F29"/>
    <mergeCell ref="A46:F48"/>
    <mergeCell ref="A30:F30"/>
    <mergeCell ref="C102:E102"/>
    <mergeCell ref="C96:E96"/>
    <mergeCell ref="C97:E97"/>
    <mergeCell ref="C100:E100"/>
    <mergeCell ref="C86:E86"/>
  </mergeCells>
  <printOptions horizontalCentered="1"/>
  <pageMargins left="0" right="0" top="0.19685039370078741" bottom="0.59055118110236227" header="0.31496062992125984" footer="0.31496062992125984"/>
  <pageSetup paperSize="9" fitToHeight="0" orientation="portrait" horizont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035C-CFFD-4782-B594-793DDC788837}">
  <dimension ref="A1:J80"/>
  <sheetViews>
    <sheetView showGridLines="0" zoomScaleNormal="100" workbookViewId="0">
      <selection activeCell="D83" sqref="D83"/>
    </sheetView>
  </sheetViews>
  <sheetFormatPr defaultColWidth="9.140625" defaultRowHeight="12.75" x14ac:dyDescent="0.2"/>
  <cols>
    <col min="1" max="1" width="11.42578125" style="1" customWidth="1"/>
    <col min="2" max="2" width="2" style="1" customWidth="1"/>
    <col min="3" max="3" width="11.42578125" style="1" customWidth="1"/>
    <col min="4" max="4" width="46.5703125" style="3" customWidth="1"/>
    <col min="5" max="5" width="6.28515625" style="1" bestFit="1" customWidth="1"/>
    <col min="6" max="6" width="16.140625" style="1" customWidth="1"/>
    <col min="7" max="7" width="9.140625" style="1"/>
    <col min="8" max="10" width="9.140625" style="6"/>
    <col min="11" max="16384" width="9.140625" style="1"/>
  </cols>
  <sheetData>
    <row r="1" spans="1:7" ht="12.75" customHeight="1" x14ac:dyDescent="0.2">
      <c r="A1" s="243"/>
      <c r="B1" s="243"/>
      <c r="C1" s="243"/>
      <c r="D1" s="243"/>
      <c r="E1" s="243"/>
      <c r="F1" s="243"/>
    </row>
    <row r="2" spans="1:7" ht="12.75" customHeight="1" x14ac:dyDescent="0.2">
      <c r="A2" s="243"/>
      <c r="B2" s="243"/>
      <c r="C2" s="243"/>
      <c r="D2" s="243"/>
      <c r="E2" s="243"/>
      <c r="F2" s="243"/>
    </row>
    <row r="3" spans="1:7" ht="12.75" customHeight="1" x14ac:dyDescent="0.2">
      <c r="A3" s="243"/>
      <c r="B3" s="243"/>
      <c r="C3" s="243"/>
      <c r="D3" s="243"/>
      <c r="E3" s="243"/>
      <c r="F3" s="243"/>
    </row>
    <row r="4" spans="1:7" x14ac:dyDescent="0.2">
      <c r="A4" s="205"/>
      <c r="B4" s="205"/>
      <c r="C4" s="206"/>
      <c r="D4" s="207"/>
      <c r="E4" s="206"/>
      <c r="F4" s="206"/>
    </row>
    <row r="5" spans="1:7" s="6" customFormat="1" ht="15" x14ac:dyDescent="0.2">
      <c r="A5" s="244" t="s">
        <v>338</v>
      </c>
      <c r="B5" s="244"/>
      <c r="C5" s="244"/>
      <c r="D5" s="244"/>
      <c r="E5" s="154"/>
      <c r="F5" s="154"/>
      <c r="G5" s="1"/>
    </row>
    <row r="6" spans="1:7" s="6" customFormat="1" x14ac:dyDescent="0.2">
      <c r="A6" s="158" t="s">
        <v>339</v>
      </c>
      <c r="B6" s="158"/>
      <c r="C6" s="162"/>
      <c r="D6" s="158" t="s">
        <v>116</v>
      </c>
      <c r="E6" s="158"/>
      <c r="F6" s="160" t="s">
        <v>5</v>
      </c>
      <c r="G6" s="1"/>
    </row>
    <row r="7" spans="1:7" s="6" customFormat="1" x14ac:dyDescent="0.2">
      <c r="A7" s="110">
        <v>7220</v>
      </c>
      <c r="B7" s="115" t="s">
        <v>23</v>
      </c>
      <c r="C7" s="236" t="s">
        <v>340</v>
      </c>
      <c r="D7" s="236"/>
      <c r="E7" s="113"/>
      <c r="F7" s="152">
        <v>1436.9</v>
      </c>
      <c r="G7" s="1"/>
    </row>
    <row r="8" spans="1:7" s="6" customFormat="1" x14ac:dyDescent="0.2">
      <c r="A8" s="122">
        <v>7221</v>
      </c>
      <c r="B8" s="128" t="s">
        <v>23</v>
      </c>
      <c r="C8" s="235" t="s">
        <v>341</v>
      </c>
      <c r="D8" s="235"/>
      <c r="E8" s="132"/>
      <c r="F8" s="135">
        <v>359.3</v>
      </c>
      <c r="G8" s="1"/>
    </row>
    <row r="9" spans="1:7" s="6" customFormat="1" x14ac:dyDescent="0.2">
      <c r="A9" s="110">
        <v>7222</v>
      </c>
      <c r="B9" s="115" t="s">
        <v>23</v>
      </c>
      <c r="C9" s="236" t="s">
        <v>342</v>
      </c>
      <c r="D9" s="236"/>
      <c r="E9" s="113"/>
      <c r="F9" s="152">
        <v>582.79999999999995</v>
      </c>
      <c r="G9" s="1"/>
    </row>
    <row r="10" spans="1:7" s="6" customFormat="1" x14ac:dyDescent="0.2">
      <c r="A10" s="122">
        <v>16038</v>
      </c>
      <c r="B10" s="128" t="s">
        <v>23</v>
      </c>
      <c r="C10" s="138" t="s">
        <v>544</v>
      </c>
      <c r="D10" s="138"/>
      <c r="E10" s="132"/>
      <c r="F10" s="211"/>
      <c r="G10" s="1"/>
    </row>
    <row r="11" spans="1:7" s="6" customFormat="1" x14ac:dyDescent="0.2">
      <c r="A11" s="110">
        <v>7230</v>
      </c>
      <c r="B11" s="115" t="s">
        <v>23</v>
      </c>
      <c r="C11" s="236" t="s">
        <v>343</v>
      </c>
      <c r="D11" s="236"/>
      <c r="E11" s="113"/>
      <c r="F11" s="152">
        <v>2075.5</v>
      </c>
      <c r="G11" s="1"/>
    </row>
    <row r="12" spans="1:7" s="6" customFormat="1" x14ac:dyDescent="0.2">
      <c r="A12" s="122">
        <v>7231</v>
      </c>
      <c r="B12" s="128" t="s">
        <v>23</v>
      </c>
      <c r="C12" s="235" t="s">
        <v>344</v>
      </c>
      <c r="D12" s="235"/>
      <c r="E12" s="132"/>
      <c r="F12" s="135">
        <v>431.6</v>
      </c>
      <c r="G12" s="1"/>
    </row>
    <row r="13" spans="1:7" s="6" customFormat="1" x14ac:dyDescent="0.2">
      <c r="A13" s="110">
        <v>7232</v>
      </c>
      <c r="B13" s="115" t="s">
        <v>23</v>
      </c>
      <c r="C13" s="236" t="s">
        <v>345</v>
      </c>
      <c r="D13" s="236"/>
      <c r="E13" s="113"/>
      <c r="F13" s="152">
        <v>623.4</v>
      </c>
      <c r="G13" s="1"/>
    </row>
    <row r="14" spans="1:7" x14ac:dyDescent="0.2">
      <c r="A14" s="122">
        <v>16039</v>
      </c>
      <c r="B14" s="128" t="s">
        <v>23</v>
      </c>
      <c r="C14" s="138" t="s">
        <v>545</v>
      </c>
      <c r="D14" s="138"/>
      <c r="E14" s="132"/>
      <c r="F14" s="211"/>
    </row>
    <row r="16" spans="1:7" ht="12.75" customHeight="1" x14ac:dyDescent="0.2">
      <c r="A16" s="155" t="s">
        <v>346</v>
      </c>
      <c r="B16" s="155"/>
      <c r="C16" s="155"/>
      <c r="D16" s="154"/>
      <c r="E16" s="154"/>
      <c r="F16" s="154"/>
    </row>
    <row r="17" spans="1:6" ht="12.75" customHeight="1" x14ac:dyDescent="0.2">
      <c r="A17" s="158" t="s">
        <v>339</v>
      </c>
      <c r="B17" s="158"/>
      <c r="C17" s="162"/>
      <c r="D17" s="158" t="s">
        <v>116</v>
      </c>
      <c r="E17" s="158"/>
      <c r="F17" s="160" t="s">
        <v>5</v>
      </c>
    </row>
    <row r="18" spans="1:6" ht="12.75" customHeight="1" x14ac:dyDescent="0.2">
      <c r="A18" s="110">
        <v>7240</v>
      </c>
      <c r="B18" s="110"/>
      <c r="C18" s="236" t="s">
        <v>347</v>
      </c>
      <c r="D18" s="236"/>
      <c r="E18" s="113"/>
      <c r="F18" s="113">
        <v>186.5</v>
      </c>
    </row>
    <row r="19" spans="1:6" ht="12.75" customHeight="1" x14ac:dyDescent="0.2">
      <c r="A19" s="122">
        <v>7241</v>
      </c>
      <c r="B19" s="128"/>
      <c r="C19" s="138" t="s">
        <v>348</v>
      </c>
      <c r="D19" s="138"/>
      <c r="E19" s="132"/>
      <c r="F19" s="132">
        <v>12.5</v>
      </c>
    </row>
    <row r="20" spans="1:6" ht="12.75" customHeight="1" x14ac:dyDescent="0.2">
      <c r="A20" s="110">
        <v>7242</v>
      </c>
      <c r="B20" s="110"/>
      <c r="C20" s="112" t="s">
        <v>349</v>
      </c>
      <c r="D20" s="112"/>
      <c r="E20" s="113"/>
      <c r="F20" s="113">
        <v>3.9</v>
      </c>
    </row>
    <row r="21" spans="1:6" x14ac:dyDescent="0.2">
      <c r="A21" s="122">
        <v>7243</v>
      </c>
      <c r="B21" s="128"/>
      <c r="C21" s="138" t="s">
        <v>350</v>
      </c>
      <c r="D21" s="138"/>
      <c r="E21" s="132"/>
      <c r="F21" s="132">
        <v>38.5</v>
      </c>
    </row>
    <row r="22" spans="1:6" ht="12.75" customHeight="1" x14ac:dyDescent="0.2"/>
    <row r="23" spans="1:6" ht="12.75" customHeight="1" x14ac:dyDescent="0.2">
      <c r="A23" s="155" t="s">
        <v>351</v>
      </c>
      <c r="B23" s="155"/>
      <c r="C23" s="155"/>
      <c r="D23" s="154"/>
      <c r="E23" s="154"/>
      <c r="F23" s="154"/>
    </row>
    <row r="24" spans="1:6" ht="12.75" customHeight="1" x14ac:dyDescent="0.2">
      <c r="A24" s="158" t="s">
        <v>339</v>
      </c>
      <c r="B24" s="158"/>
      <c r="C24" s="162"/>
      <c r="D24" s="158" t="s">
        <v>116</v>
      </c>
      <c r="E24" s="158"/>
      <c r="F24" s="160" t="s">
        <v>5</v>
      </c>
    </row>
    <row r="25" spans="1:6" ht="12.75" customHeight="1" x14ac:dyDescent="0.2">
      <c r="A25" s="110">
        <v>7263</v>
      </c>
      <c r="B25" s="110"/>
      <c r="C25" s="236" t="s">
        <v>352</v>
      </c>
      <c r="D25" s="236"/>
      <c r="E25" s="113"/>
      <c r="F25" s="113">
        <v>720.3</v>
      </c>
    </row>
    <row r="26" spans="1:6" ht="12.75" customHeight="1" x14ac:dyDescent="0.2">
      <c r="A26" s="122">
        <v>7264</v>
      </c>
      <c r="B26" s="128"/>
      <c r="C26" s="138" t="s">
        <v>353</v>
      </c>
      <c r="D26" s="138"/>
      <c r="E26" s="132"/>
      <c r="F26" s="132">
        <v>744.3</v>
      </c>
    </row>
    <row r="27" spans="1:6" ht="12.75" customHeight="1" x14ac:dyDescent="0.2">
      <c r="A27" s="110">
        <v>7265</v>
      </c>
      <c r="B27" s="110"/>
      <c r="C27" s="112" t="s">
        <v>354</v>
      </c>
      <c r="D27" s="112"/>
      <c r="E27" s="113"/>
      <c r="F27" s="113">
        <v>746.8</v>
      </c>
    </row>
    <row r="28" spans="1:6" ht="12.75" customHeight="1" x14ac:dyDescent="0.2">
      <c r="A28" s="122">
        <v>7266</v>
      </c>
      <c r="B28" s="128"/>
      <c r="C28" s="138" t="s">
        <v>355</v>
      </c>
      <c r="D28" s="138"/>
      <c r="E28" s="132"/>
      <c r="F28" s="132">
        <v>770.8</v>
      </c>
    </row>
    <row r="29" spans="1:6" x14ac:dyDescent="0.2">
      <c r="A29" s="110">
        <v>7267</v>
      </c>
      <c r="B29" s="110"/>
      <c r="C29" s="236" t="s">
        <v>356</v>
      </c>
      <c r="D29" s="236"/>
      <c r="E29" s="113"/>
      <c r="F29" s="113">
        <v>144.19999999999999</v>
      </c>
    </row>
    <row r="30" spans="1:6" ht="12.75" customHeight="1" x14ac:dyDescent="0.2">
      <c r="A30" s="122">
        <v>7268</v>
      </c>
      <c r="B30" s="128"/>
      <c r="C30" s="138" t="s">
        <v>357</v>
      </c>
      <c r="D30" s="138"/>
      <c r="E30" s="132"/>
      <c r="F30" s="132">
        <v>72.099999999999994</v>
      </c>
    </row>
    <row r="31" spans="1:6" ht="12.75" customHeight="1" x14ac:dyDescent="0.2">
      <c r="A31" s="110">
        <v>7272</v>
      </c>
      <c r="B31" s="110"/>
      <c r="C31" s="112" t="s">
        <v>358</v>
      </c>
      <c r="D31" s="112"/>
      <c r="E31" s="113"/>
      <c r="F31" s="113">
        <v>733.6</v>
      </c>
    </row>
    <row r="32" spans="1:6" ht="12.75" customHeight="1" x14ac:dyDescent="0.2">
      <c r="A32" s="122">
        <v>7273</v>
      </c>
      <c r="B32" s="128"/>
      <c r="C32" s="138" t="s">
        <v>359</v>
      </c>
      <c r="D32" s="138"/>
      <c r="E32" s="132"/>
      <c r="F32" s="132">
        <v>782.5</v>
      </c>
    </row>
    <row r="33" spans="1:6" x14ac:dyDescent="0.2">
      <c r="A33" s="110">
        <v>7274</v>
      </c>
      <c r="B33" s="110"/>
      <c r="C33" s="236" t="s">
        <v>360</v>
      </c>
      <c r="D33" s="236"/>
      <c r="E33" s="113"/>
      <c r="F33" s="113">
        <v>758</v>
      </c>
    </row>
    <row r="34" spans="1:6" ht="12.75" customHeight="1" x14ac:dyDescent="0.2">
      <c r="A34" s="122">
        <v>7275</v>
      </c>
      <c r="B34" s="128"/>
      <c r="C34" s="138" t="s">
        <v>361</v>
      </c>
      <c r="D34" s="138"/>
      <c r="E34" s="132"/>
      <c r="F34" s="132">
        <v>807</v>
      </c>
    </row>
    <row r="35" spans="1:6" ht="12.75" customHeight="1" x14ac:dyDescent="0.2">
      <c r="A35" s="110">
        <v>7276</v>
      </c>
      <c r="B35" s="110"/>
      <c r="C35" s="112" t="s">
        <v>362</v>
      </c>
      <c r="D35" s="112"/>
      <c r="E35" s="113"/>
      <c r="F35" s="113">
        <v>84.8</v>
      </c>
    </row>
    <row r="36" spans="1:6" ht="12.75" customHeight="1" x14ac:dyDescent="0.2">
      <c r="A36" s="122">
        <v>7277</v>
      </c>
      <c r="B36" s="128"/>
      <c r="C36" s="138" t="s">
        <v>363</v>
      </c>
      <c r="D36" s="138"/>
      <c r="E36" s="132"/>
      <c r="F36" s="132">
        <v>151.19999999999999</v>
      </c>
    </row>
    <row r="37" spans="1:6" x14ac:dyDescent="0.2">
      <c r="A37" s="110">
        <v>7278</v>
      </c>
      <c r="B37" s="110"/>
      <c r="C37" s="112" t="s">
        <v>364</v>
      </c>
      <c r="D37" s="112"/>
      <c r="E37" s="113"/>
      <c r="F37" s="113">
        <v>40.6</v>
      </c>
    </row>
    <row r="38" spans="1:6" ht="12.75" customHeight="1" x14ac:dyDescent="0.2"/>
    <row r="39" spans="1:6" ht="12.75" customHeight="1" x14ac:dyDescent="0.2">
      <c r="A39" s="156" t="s">
        <v>365</v>
      </c>
      <c r="B39" s="156"/>
      <c r="C39" s="157"/>
      <c r="D39" s="154"/>
      <c r="E39" s="163"/>
      <c r="F39" s="161"/>
    </row>
    <row r="40" spans="1:6" ht="12.75" customHeight="1" x14ac:dyDescent="0.2">
      <c r="A40" s="158" t="s">
        <v>339</v>
      </c>
      <c r="B40" s="158"/>
      <c r="C40" s="162"/>
      <c r="D40" s="158" t="s">
        <v>116</v>
      </c>
      <c r="E40" s="159" t="s">
        <v>366</v>
      </c>
      <c r="F40" s="160" t="s">
        <v>5</v>
      </c>
    </row>
    <row r="41" spans="1:6" ht="12.75" customHeight="1" x14ac:dyDescent="0.2">
      <c r="A41" s="110">
        <v>7280</v>
      </c>
      <c r="B41" s="115"/>
      <c r="C41" s="242" t="s">
        <v>367</v>
      </c>
      <c r="D41" s="242"/>
      <c r="E41" s="111" t="s">
        <v>368</v>
      </c>
      <c r="F41" s="178">
        <v>48.9</v>
      </c>
    </row>
    <row r="42" spans="1:6" ht="12.75" customHeight="1" x14ac:dyDescent="0.2">
      <c r="A42" s="122">
        <v>7281</v>
      </c>
      <c r="B42" s="128"/>
      <c r="C42" s="234" t="s">
        <v>369</v>
      </c>
      <c r="D42" s="234"/>
      <c r="E42" s="123" t="s">
        <v>368</v>
      </c>
      <c r="F42" s="187">
        <v>56.4</v>
      </c>
    </row>
    <row r="43" spans="1:6" ht="12.75" customHeight="1" x14ac:dyDescent="0.2">
      <c r="A43" s="110">
        <v>7283</v>
      </c>
      <c r="B43" s="115"/>
      <c r="C43" s="242" t="s">
        <v>370</v>
      </c>
      <c r="D43" s="242"/>
      <c r="E43" s="111" t="s">
        <v>368</v>
      </c>
      <c r="F43" s="188">
        <v>47.6</v>
      </c>
    </row>
    <row r="44" spans="1:6" ht="12.75" customHeight="1" x14ac:dyDescent="0.2">
      <c r="A44" s="122">
        <v>7284</v>
      </c>
      <c r="B44" s="128"/>
      <c r="C44" s="234" t="s">
        <v>371</v>
      </c>
      <c r="D44" s="234"/>
      <c r="E44" s="123" t="s">
        <v>372</v>
      </c>
      <c r="F44" s="187">
        <v>283.5</v>
      </c>
    </row>
    <row r="45" spans="1:6" ht="12.75" customHeight="1" x14ac:dyDescent="0.2">
      <c r="A45" s="110">
        <v>7285</v>
      </c>
      <c r="B45" s="115"/>
      <c r="C45" s="242" t="s">
        <v>373</v>
      </c>
      <c r="D45" s="242"/>
      <c r="E45" s="115" t="s">
        <v>374</v>
      </c>
      <c r="F45" s="188">
        <v>302.89999999999998</v>
      </c>
    </row>
    <row r="46" spans="1:6" ht="12.75" customHeight="1" x14ac:dyDescent="0.2">
      <c r="A46" s="122">
        <v>7289</v>
      </c>
      <c r="B46" s="128"/>
      <c r="C46" s="234" t="s">
        <v>375</v>
      </c>
      <c r="D46" s="234"/>
      <c r="E46" s="128" t="s">
        <v>374</v>
      </c>
      <c r="F46" s="187">
        <v>338.6</v>
      </c>
    </row>
    <row r="47" spans="1:6" ht="12.75" customHeight="1" x14ac:dyDescent="0.2"/>
    <row r="48" spans="1:6" ht="12.75" customHeight="1" x14ac:dyDescent="0.2">
      <c r="A48" s="156" t="s">
        <v>376</v>
      </c>
      <c r="B48" s="156"/>
      <c r="C48" s="157"/>
      <c r="D48" s="154"/>
      <c r="E48" s="163"/>
      <c r="F48" s="161"/>
    </row>
    <row r="49" spans="1:6" ht="12.75" customHeight="1" x14ac:dyDescent="0.2">
      <c r="A49" s="158" t="s">
        <v>339</v>
      </c>
      <c r="B49" s="158"/>
      <c r="C49" s="162"/>
      <c r="D49" s="158" t="s">
        <v>116</v>
      </c>
      <c r="E49" s="159" t="s">
        <v>366</v>
      </c>
      <c r="F49" s="160" t="s">
        <v>5</v>
      </c>
    </row>
    <row r="50" spans="1:6" ht="12.75" customHeight="1" x14ac:dyDescent="0.2">
      <c r="A50" s="110">
        <v>7282</v>
      </c>
      <c r="B50" s="115"/>
      <c r="C50" s="242" t="s">
        <v>377</v>
      </c>
      <c r="D50" s="242"/>
      <c r="E50" s="115" t="s">
        <v>374</v>
      </c>
      <c r="F50" s="188">
        <v>324.5</v>
      </c>
    </row>
    <row r="51" spans="1:6" ht="12.75" customHeight="1" x14ac:dyDescent="0.2">
      <c r="A51" s="3"/>
      <c r="B51" s="151"/>
      <c r="C51" s="168"/>
      <c r="D51" s="168"/>
      <c r="E51" s="151"/>
      <c r="F51" s="4"/>
    </row>
    <row r="52" spans="1:6" ht="12.75" customHeight="1" x14ac:dyDescent="0.2">
      <c r="A52" s="156" t="s">
        <v>378</v>
      </c>
      <c r="B52" s="157"/>
      <c r="C52" s="154"/>
      <c r="D52" s="154"/>
      <c r="E52" s="157"/>
      <c r="F52" s="161"/>
    </row>
    <row r="53" spans="1:6" x14ac:dyDescent="0.2">
      <c r="A53" s="158" t="s">
        <v>379</v>
      </c>
      <c r="B53" s="162"/>
      <c r="C53" s="158" t="s">
        <v>116</v>
      </c>
      <c r="D53" s="158"/>
      <c r="E53" s="158"/>
      <c r="F53" s="160" t="s">
        <v>380</v>
      </c>
    </row>
    <row r="54" spans="1:6" x14ac:dyDescent="0.2">
      <c r="A54" s="116">
        <v>1293</v>
      </c>
      <c r="B54" s="120"/>
      <c r="C54" s="112" t="s">
        <v>381</v>
      </c>
      <c r="D54" s="112"/>
      <c r="E54" s="112"/>
      <c r="F54" s="152">
        <v>596.1</v>
      </c>
    </row>
    <row r="55" spans="1:6" x14ac:dyDescent="0.2">
      <c r="A55" s="129">
        <v>1292</v>
      </c>
      <c r="B55" s="142"/>
      <c r="C55" s="138" t="s">
        <v>382</v>
      </c>
      <c r="D55" s="138"/>
      <c r="E55" s="138"/>
      <c r="F55" s="135">
        <v>1142.9000000000001</v>
      </c>
    </row>
    <row r="57" spans="1:6" ht="15" x14ac:dyDescent="0.2">
      <c r="A57" s="156" t="s">
        <v>383</v>
      </c>
      <c r="B57" s="156"/>
      <c r="C57" s="157"/>
      <c r="D57" s="154"/>
      <c r="E57" s="163"/>
      <c r="F57" s="161"/>
    </row>
    <row r="58" spans="1:6" x14ac:dyDescent="0.2">
      <c r="A58" s="158" t="s">
        <v>339</v>
      </c>
      <c r="B58" s="158"/>
      <c r="C58" s="241" t="s">
        <v>116</v>
      </c>
      <c r="D58" s="241"/>
      <c r="E58" s="159" t="s">
        <v>366</v>
      </c>
      <c r="F58" s="160" t="s">
        <v>5</v>
      </c>
    </row>
    <row r="59" spans="1:6" x14ac:dyDescent="0.2">
      <c r="A59" s="110">
        <v>7252</v>
      </c>
      <c r="B59" s="112"/>
      <c r="C59" s="242" t="s">
        <v>384</v>
      </c>
      <c r="D59" s="242"/>
      <c r="E59" s="111" t="s">
        <v>385</v>
      </c>
      <c r="F59" s="152">
        <v>1099.2</v>
      </c>
    </row>
    <row r="60" spans="1:6" x14ac:dyDescent="0.2">
      <c r="A60" s="122">
        <v>7262</v>
      </c>
      <c r="B60" s="128" t="s">
        <v>23</v>
      </c>
      <c r="C60" s="234" t="s">
        <v>386</v>
      </c>
      <c r="D60" s="234"/>
      <c r="E60" s="123" t="s">
        <v>385</v>
      </c>
      <c r="F60" s="135">
        <v>1138.5999999999999</v>
      </c>
    </row>
    <row r="61" spans="1:6" x14ac:dyDescent="0.2">
      <c r="C61" s="2"/>
      <c r="E61" s="2"/>
      <c r="F61" s="2"/>
    </row>
    <row r="62" spans="1:6" ht="15" x14ac:dyDescent="0.2">
      <c r="A62" s="156" t="s">
        <v>387</v>
      </c>
      <c r="B62" s="156"/>
      <c r="C62" s="157"/>
      <c r="D62" s="154"/>
      <c r="E62" s="163"/>
      <c r="F62" s="161"/>
    </row>
    <row r="63" spans="1:6" x14ac:dyDescent="0.2">
      <c r="A63" s="158" t="s">
        <v>339</v>
      </c>
      <c r="B63" s="158"/>
      <c r="C63" s="241" t="s">
        <v>116</v>
      </c>
      <c r="D63" s="241"/>
      <c r="E63" s="159" t="s">
        <v>366</v>
      </c>
      <c r="F63" s="160" t="s">
        <v>5</v>
      </c>
    </row>
    <row r="64" spans="1:6" x14ac:dyDescent="0.2">
      <c r="A64" s="116">
        <v>1275</v>
      </c>
      <c r="B64" s="115"/>
      <c r="C64" s="242" t="s">
        <v>388</v>
      </c>
      <c r="D64" s="242"/>
      <c r="E64" s="115" t="s">
        <v>374</v>
      </c>
      <c r="F64" s="152">
        <v>772</v>
      </c>
    </row>
    <row r="65" spans="1:6" x14ac:dyDescent="0.2">
      <c r="A65" s="129">
        <v>1276</v>
      </c>
      <c r="B65" s="124"/>
      <c r="C65" s="234" t="s">
        <v>389</v>
      </c>
      <c r="D65" s="234"/>
      <c r="E65" s="128" t="s">
        <v>374</v>
      </c>
      <c r="F65" s="135">
        <v>369.7</v>
      </c>
    </row>
    <row r="66" spans="1:6" x14ac:dyDescent="0.2">
      <c r="A66" s="26"/>
      <c r="C66" s="168"/>
      <c r="D66" s="168"/>
      <c r="E66" s="151"/>
      <c r="F66" s="5"/>
    </row>
    <row r="67" spans="1:6" ht="15" x14ac:dyDescent="0.2">
      <c r="A67" s="156" t="s">
        <v>390</v>
      </c>
      <c r="B67" s="156"/>
      <c r="C67" s="154"/>
      <c r="D67" s="154"/>
      <c r="E67" s="164"/>
      <c r="F67" s="161"/>
    </row>
    <row r="68" spans="1:6" x14ac:dyDescent="0.2">
      <c r="A68" s="158" t="s">
        <v>339</v>
      </c>
      <c r="B68" s="158"/>
      <c r="C68" s="241" t="s">
        <v>116</v>
      </c>
      <c r="D68" s="241"/>
      <c r="E68" s="158"/>
      <c r="F68" s="160" t="s">
        <v>5</v>
      </c>
    </row>
    <row r="69" spans="1:6" x14ac:dyDescent="0.2">
      <c r="A69" s="110">
        <v>7195</v>
      </c>
      <c r="B69" s="110"/>
      <c r="C69" s="242" t="s">
        <v>391</v>
      </c>
      <c r="D69" s="242"/>
      <c r="E69" s="183"/>
      <c r="F69" s="152">
        <v>41.7</v>
      </c>
    </row>
    <row r="70" spans="1:6" x14ac:dyDescent="0.2">
      <c r="A70" s="122">
        <v>7194</v>
      </c>
      <c r="B70" s="122"/>
      <c r="C70" s="234" t="s">
        <v>392</v>
      </c>
      <c r="D70" s="234"/>
      <c r="E70" s="182"/>
      <c r="F70" s="135">
        <v>41.7</v>
      </c>
    </row>
    <row r="71" spans="1:6" x14ac:dyDescent="0.2">
      <c r="A71" s="110">
        <v>7199</v>
      </c>
      <c r="B71" s="110"/>
      <c r="C71" s="242" t="s">
        <v>393</v>
      </c>
      <c r="D71" s="242"/>
      <c r="E71" s="183"/>
      <c r="F71" s="152">
        <v>37.700000000000003</v>
      </c>
    </row>
    <row r="72" spans="1:6" x14ac:dyDescent="0.2">
      <c r="A72" s="129">
        <v>7407</v>
      </c>
      <c r="B72" s="129"/>
      <c r="C72" s="234" t="s">
        <v>394</v>
      </c>
      <c r="D72" s="234"/>
      <c r="E72" s="182"/>
      <c r="F72" s="135">
        <v>62.1</v>
      </c>
    </row>
    <row r="73" spans="1:6" x14ac:dyDescent="0.2">
      <c r="A73" s="110">
        <v>7198</v>
      </c>
      <c r="B73" s="110"/>
      <c r="C73" s="242" t="s">
        <v>395</v>
      </c>
      <c r="D73" s="242"/>
      <c r="E73" s="183"/>
      <c r="F73" s="152">
        <v>56.1</v>
      </c>
    </row>
    <row r="74" spans="1:6" x14ac:dyDescent="0.2">
      <c r="A74" s="129">
        <v>7545</v>
      </c>
      <c r="B74" s="129"/>
      <c r="C74" s="234" t="s">
        <v>396</v>
      </c>
      <c r="D74" s="234"/>
      <c r="E74" s="182"/>
      <c r="F74" s="135">
        <v>26.8</v>
      </c>
    </row>
    <row r="75" spans="1:6" x14ac:dyDescent="0.2">
      <c r="A75" s="110">
        <v>7578</v>
      </c>
      <c r="B75" s="110"/>
      <c r="C75" s="242" t="s">
        <v>397</v>
      </c>
      <c r="D75" s="242"/>
      <c r="E75" s="183"/>
      <c r="F75" s="152">
        <v>63</v>
      </c>
    </row>
    <row r="76" spans="1:6" x14ac:dyDescent="0.2">
      <c r="A76" s="129">
        <v>7579</v>
      </c>
      <c r="B76" s="129"/>
      <c r="C76" s="234" t="s">
        <v>398</v>
      </c>
      <c r="D76" s="234"/>
      <c r="E76" s="182"/>
      <c r="F76" s="135">
        <v>31.9</v>
      </c>
    </row>
    <row r="77" spans="1:6" x14ac:dyDescent="0.2">
      <c r="A77" s="110">
        <v>7580</v>
      </c>
      <c r="B77" s="110"/>
      <c r="C77" s="242" t="s">
        <v>399</v>
      </c>
      <c r="D77" s="242"/>
      <c r="E77" s="183"/>
      <c r="F77" s="152">
        <v>31.9</v>
      </c>
    </row>
    <row r="78" spans="1:6" x14ac:dyDescent="0.2">
      <c r="A78" s="129">
        <v>7288</v>
      </c>
      <c r="B78" s="129"/>
      <c r="C78" s="234" t="s">
        <v>400</v>
      </c>
      <c r="D78" s="234"/>
      <c r="E78" s="182"/>
      <c r="F78" s="135">
        <v>163</v>
      </c>
    </row>
    <row r="79" spans="1:6" x14ac:dyDescent="0.2">
      <c r="A79" s="110">
        <v>7550</v>
      </c>
      <c r="B79" s="110"/>
      <c r="C79" s="242" t="s">
        <v>401</v>
      </c>
      <c r="D79" s="242"/>
      <c r="E79" s="183"/>
      <c r="F79" s="152">
        <v>19.3</v>
      </c>
    </row>
    <row r="80" spans="1:6" ht="13.15" customHeight="1" x14ac:dyDescent="0.2">
      <c r="A80" s="122">
        <v>7188</v>
      </c>
      <c r="B80" s="122"/>
      <c r="C80" s="235" t="s">
        <v>402</v>
      </c>
      <c r="D80" s="235"/>
      <c r="E80" s="235"/>
      <c r="F80" s="132">
        <v>23.6</v>
      </c>
    </row>
  </sheetData>
  <mergeCells count="38">
    <mergeCell ref="C42:D42"/>
    <mergeCell ref="A1:F3"/>
    <mergeCell ref="A5:D5"/>
    <mergeCell ref="C7:D7"/>
    <mergeCell ref="C8:D8"/>
    <mergeCell ref="C9:D9"/>
    <mergeCell ref="C74:D74"/>
    <mergeCell ref="C11:D11"/>
    <mergeCell ref="C18:D18"/>
    <mergeCell ref="C58:D58"/>
    <mergeCell ref="C63:D63"/>
    <mergeCell ref="C71:D71"/>
    <mergeCell ref="C43:D43"/>
    <mergeCell ref="C29:D29"/>
    <mergeCell ref="C33:D33"/>
    <mergeCell ref="C25:D25"/>
    <mergeCell ref="C46:D46"/>
    <mergeCell ref="C12:D12"/>
    <mergeCell ref="C41:D41"/>
    <mergeCell ref="C69:D69"/>
    <mergeCell ref="C70:D70"/>
    <mergeCell ref="C13:D13"/>
    <mergeCell ref="C80:E80"/>
    <mergeCell ref="C68:D68"/>
    <mergeCell ref="C44:D44"/>
    <mergeCell ref="C45:D45"/>
    <mergeCell ref="C64:D64"/>
    <mergeCell ref="C65:D65"/>
    <mergeCell ref="C79:D79"/>
    <mergeCell ref="C73:D73"/>
    <mergeCell ref="C72:D72"/>
    <mergeCell ref="C78:D78"/>
    <mergeCell ref="C75:D75"/>
    <mergeCell ref="C50:D50"/>
    <mergeCell ref="C59:D59"/>
    <mergeCell ref="C60:D60"/>
    <mergeCell ref="C76:D76"/>
    <mergeCell ref="C77:D77"/>
  </mergeCells>
  <printOptions horizontalCentered="1"/>
  <pageMargins left="0.25" right="0.25" top="0.75" bottom="0.75" header="0.3" footer="0.3"/>
  <pageSetup paperSize="9" fitToHeight="0" orientation="portrait" horizont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9868-D241-4364-8497-82435349F6AC}">
  <dimension ref="A1:J202"/>
  <sheetViews>
    <sheetView showGridLines="0" tabSelected="1" topLeftCell="A36" zoomScaleNormal="100" workbookViewId="0">
      <selection activeCell="N59" sqref="N59"/>
    </sheetView>
  </sheetViews>
  <sheetFormatPr defaultColWidth="9.140625" defaultRowHeight="12.75" x14ac:dyDescent="0.2"/>
  <cols>
    <col min="1" max="1" width="11.28515625" style="1" customWidth="1"/>
    <col min="2" max="2" width="2" style="58" customWidth="1"/>
    <col min="3" max="3" width="10" style="1" customWidth="1"/>
    <col min="4" max="4" width="1.42578125" style="1" customWidth="1"/>
    <col min="5" max="5" width="55.42578125" style="58" customWidth="1"/>
    <col min="6" max="6" width="6.28515625" style="2" bestFit="1" customWidth="1"/>
    <col min="7" max="7" width="13.140625" style="3" customWidth="1"/>
    <col min="8" max="8" width="10" style="5" bestFit="1" customWidth="1"/>
    <col min="9" max="16384" width="9.140625" style="1"/>
  </cols>
  <sheetData>
    <row r="1" spans="1:9" ht="12.75" customHeight="1" x14ac:dyDescent="0.2">
      <c r="A1" s="226"/>
      <c r="B1" s="226"/>
      <c r="C1" s="226"/>
      <c r="D1" s="226"/>
      <c r="E1" s="226"/>
      <c r="F1" s="226"/>
      <c r="G1" s="226"/>
      <c r="H1" s="1"/>
    </row>
    <row r="2" spans="1:9" ht="12.75" customHeight="1" x14ac:dyDescent="0.2">
      <c r="A2" s="226"/>
      <c r="B2" s="226"/>
      <c r="C2" s="226"/>
      <c r="D2" s="226"/>
      <c r="E2" s="226"/>
      <c r="F2" s="226"/>
      <c r="G2" s="226"/>
      <c r="H2" s="1"/>
    </row>
    <row r="3" spans="1:9" ht="12.75" customHeight="1" x14ac:dyDescent="0.2">
      <c r="A3" s="226"/>
      <c r="B3" s="226"/>
      <c r="C3" s="226"/>
      <c r="D3" s="226"/>
      <c r="E3" s="226"/>
      <c r="F3" s="226"/>
      <c r="G3" s="226"/>
      <c r="H3" s="1"/>
    </row>
    <row r="4" spans="1:9" x14ac:dyDescent="0.2">
      <c r="B4" s="2"/>
      <c r="C4" s="3"/>
      <c r="D4" s="2"/>
      <c r="E4" s="2"/>
      <c r="G4" s="4"/>
      <c r="H4" s="1"/>
    </row>
    <row r="5" spans="1:9" ht="15" x14ac:dyDescent="0.2">
      <c r="A5" s="145" t="s">
        <v>403</v>
      </c>
      <c r="B5" s="59"/>
      <c r="C5" s="57"/>
      <c r="D5" s="57"/>
      <c r="E5" s="59"/>
      <c r="F5" s="63"/>
      <c r="G5" s="65"/>
      <c r="H5" s="67"/>
    </row>
    <row r="6" spans="1:9" x14ac:dyDescent="0.2">
      <c r="A6" s="12" t="s">
        <v>379</v>
      </c>
      <c r="B6" s="71"/>
      <c r="C6" s="245" t="s">
        <v>116</v>
      </c>
      <c r="D6" s="245"/>
      <c r="E6" s="245"/>
      <c r="F6" s="12" t="s">
        <v>366</v>
      </c>
      <c r="G6" s="12"/>
      <c r="H6" s="68" t="s">
        <v>380</v>
      </c>
      <c r="I6" s="196"/>
    </row>
    <row r="7" spans="1:9" ht="12.75" customHeight="1" x14ac:dyDescent="0.2">
      <c r="A7" s="110">
        <v>1203</v>
      </c>
      <c r="B7" s="118" t="s">
        <v>23</v>
      </c>
      <c r="C7" s="236" t="s">
        <v>404</v>
      </c>
      <c r="D7" s="236"/>
      <c r="E7" s="236"/>
      <c r="F7" s="111" t="s">
        <v>405</v>
      </c>
      <c r="G7" s="110"/>
      <c r="H7" s="152">
        <v>80.7</v>
      </c>
      <c r="I7" s="196"/>
    </row>
    <row r="8" spans="1:9" x14ac:dyDescent="0.2">
      <c r="A8" s="122">
        <v>1262</v>
      </c>
      <c r="B8" s="138"/>
      <c r="C8" s="235" t="s">
        <v>406</v>
      </c>
      <c r="D8" s="235"/>
      <c r="E8" s="235"/>
      <c r="F8" s="123" t="s">
        <v>407</v>
      </c>
      <c r="G8" s="122"/>
      <c r="H8" s="135">
        <v>753.5</v>
      </c>
      <c r="I8" s="196"/>
    </row>
    <row r="9" spans="1:9" x14ac:dyDescent="0.2">
      <c r="A9" s="110">
        <v>1218</v>
      </c>
      <c r="B9" s="118" t="s">
        <v>23</v>
      </c>
      <c r="C9" s="112" t="s">
        <v>408</v>
      </c>
      <c r="D9" s="112"/>
      <c r="E9" s="112"/>
      <c r="F9" s="115" t="s">
        <v>374</v>
      </c>
      <c r="G9" s="110"/>
      <c r="H9" s="152">
        <v>73.900000000000006</v>
      </c>
      <c r="I9" s="196"/>
    </row>
    <row r="10" spans="1:9" x14ac:dyDescent="0.2">
      <c r="A10" s="122">
        <v>1219</v>
      </c>
      <c r="B10" s="139" t="s">
        <v>23</v>
      </c>
      <c r="C10" s="138" t="s">
        <v>409</v>
      </c>
      <c r="D10" s="138"/>
      <c r="E10" s="138"/>
      <c r="F10" s="128" t="s">
        <v>374</v>
      </c>
      <c r="G10" s="122"/>
      <c r="H10" s="135">
        <v>73.7</v>
      </c>
      <c r="I10" s="196"/>
    </row>
    <row r="11" spans="1:9" x14ac:dyDescent="0.2">
      <c r="A11" s="116">
        <v>1268</v>
      </c>
      <c r="B11" s="118" t="s">
        <v>23</v>
      </c>
      <c r="C11" s="112" t="s">
        <v>410</v>
      </c>
      <c r="D11" s="112"/>
      <c r="E11" s="112"/>
      <c r="F11" s="115" t="s">
        <v>374</v>
      </c>
      <c r="G11" s="110"/>
      <c r="H11" s="152">
        <v>361.9</v>
      </c>
    </row>
    <row r="12" spans="1:9" x14ac:dyDescent="0.2">
      <c r="A12" s="129">
        <v>1269</v>
      </c>
      <c r="B12" s="139" t="s">
        <v>23</v>
      </c>
      <c r="C12" s="138" t="s">
        <v>411</v>
      </c>
      <c r="D12" s="138"/>
      <c r="E12" s="138"/>
      <c r="F12" s="128" t="s">
        <v>374</v>
      </c>
      <c r="G12" s="122"/>
      <c r="H12" s="135">
        <v>397.8</v>
      </c>
      <c r="I12" s="196"/>
    </row>
    <row r="13" spans="1:9" x14ac:dyDescent="0.2">
      <c r="B13" s="1"/>
      <c r="E13" s="1"/>
      <c r="F13" s="1"/>
      <c r="G13" s="1"/>
      <c r="H13" s="1"/>
      <c r="I13" s="196"/>
    </row>
    <row r="14" spans="1:9" ht="15" x14ac:dyDescent="0.2">
      <c r="A14" s="145" t="s">
        <v>412</v>
      </c>
      <c r="B14" s="59"/>
      <c r="C14" s="57"/>
      <c r="D14" s="57"/>
      <c r="E14" s="59"/>
      <c r="F14" s="63"/>
      <c r="G14" s="65"/>
      <c r="H14" s="67"/>
    </row>
    <row r="15" spans="1:9" x14ac:dyDescent="0.2">
      <c r="A15" s="12" t="s">
        <v>379</v>
      </c>
      <c r="B15" s="71"/>
      <c r="C15" s="12" t="s">
        <v>116</v>
      </c>
      <c r="D15" s="12"/>
      <c r="E15" s="12"/>
      <c r="F15" s="12" t="s">
        <v>366</v>
      </c>
      <c r="G15" s="12" t="s">
        <v>413</v>
      </c>
      <c r="H15" s="68" t="s">
        <v>380</v>
      </c>
    </row>
    <row r="16" spans="1:9" x14ac:dyDescent="0.2">
      <c r="A16" s="110">
        <v>1202</v>
      </c>
      <c r="B16" s="112"/>
      <c r="C16" s="112" t="s">
        <v>414</v>
      </c>
      <c r="D16" s="112"/>
      <c r="E16" s="112"/>
      <c r="F16" s="115" t="s">
        <v>374</v>
      </c>
      <c r="G16" s="110" t="s">
        <v>415</v>
      </c>
      <c r="H16" s="152">
        <v>24.7</v>
      </c>
    </row>
    <row r="17" spans="1:10" x14ac:dyDescent="0.2">
      <c r="A17" s="129">
        <v>1273</v>
      </c>
      <c r="B17" s="165"/>
      <c r="C17" s="138" t="s">
        <v>416</v>
      </c>
      <c r="D17" s="138"/>
      <c r="E17" s="138"/>
      <c r="F17" s="122" t="s">
        <v>417</v>
      </c>
      <c r="G17" s="122" t="s">
        <v>418</v>
      </c>
      <c r="H17" s="135">
        <v>36.200000000000003</v>
      </c>
      <c r="I17" s="196"/>
    </row>
    <row r="18" spans="1:10" x14ac:dyDescent="0.2">
      <c r="A18" s="116">
        <v>1299</v>
      </c>
      <c r="B18" s="120"/>
      <c r="C18" s="112" t="s">
        <v>419</v>
      </c>
      <c r="D18" s="112"/>
      <c r="E18" s="112"/>
      <c r="F18" s="115" t="s">
        <v>374</v>
      </c>
      <c r="G18" s="110" t="s">
        <v>420</v>
      </c>
      <c r="H18" s="152">
        <v>44.2</v>
      </c>
      <c r="I18" s="196"/>
    </row>
    <row r="19" spans="1:10" x14ac:dyDescent="0.2">
      <c r="A19" s="129">
        <v>1261</v>
      </c>
      <c r="B19" s="139" t="s">
        <v>23</v>
      </c>
      <c r="C19" s="138" t="s">
        <v>421</v>
      </c>
      <c r="D19" s="138"/>
      <c r="E19" s="138"/>
      <c r="F19" s="123" t="s">
        <v>368</v>
      </c>
      <c r="G19" s="122" t="s">
        <v>422</v>
      </c>
      <c r="H19" s="135">
        <v>53.4</v>
      </c>
      <c r="I19" s="196"/>
    </row>
    <row r="20" spans="1:10" x14ac:dyDescent="0.2">
      <c r="A20" s="26"/>
      <c r="B20" s="173"/>
      <c r="C20" s="58"/>
      <c r="D20" s="58"/>
      <c r="I20" s="196"/>
    </row>
    <row r="21" spans="1:10" ht="15" x14ac:dyDescent="0.2">
      <c r="A21" s="145" t="s">
        <v>423</v>
      </c>
      <c r="B21" s="59"/>
      <c r="C21" s="57"/>
      <c r="D21" s="57"/>
      <c r="E21" s="59"/>
      <c r="F21" s="63"/>
      <c r="G21" s="65"/>
      <c r="H21" s="67"/>
    </row>
    <row r="22" spans="1:10" x14ac:dyDescent="0.2">
      <c r="A22" s="12" t="s">
        <v>379</v>
      </c>
      <c r="B22" s="71"/>
      <c r="C22" s="12" t="s">
        <v>116</v>
      </c>
      <c r="D22" s="12"/>
      <c r="E22" s="12"/>
      <c r="F22" s="12" t="s">
        <v>366</v>
      </c>
      <c r="G22" s="12" t="s">
        <v>413</v>
      </c>
      <c r="H22" s="68" t="s">
        <v>380</v>
      </c>
    </row>
    <row r="23" spans="1:10" x14ac:dyDescent="0.2">
      <c r="A23" s="119">
        <v>1245</v>
      </c>
      <c r="B23" s="118" t="s">
        <v>23</v>
      </c>
      <c r="C23" s="112" t="s">
        <v>424</v>
      </c>
      <c r="D23" s="112"/>
      <c r="E23" s="112"/>
      <c r="F23" s="111" t="s">
        <v>368</v>
      </c>
      <c r="G23" s="110" t="s">
        <v>425</v>
      </c>
      <c r="H23" s="152">
        <v>156.19999999999999</v>
      </c>
    </row>
    <row r="24" spans="1:10" x14ac:dyDescent="0.2">
      <c r="B24" s="1"/>
      <c r="E24" s="1"/>
      <c r="F24" s="1"/>
      <c r="G24" s="1"/>
      <c r="H24" s="1"/>
    </row>
    <row r="25" spans="1:10" ht="15" x14ac:dyDescent="0.2">
      <c r="A25" s="145" t="s">
        <v>426</v>
      </c>
      <c r="B25" s="59"/>
      <c r="C25" s="57"/>
      <c r="D25" s="57"/>
      <c r="E25" s="59"/>
      <c r="F25" s="63"/>
      <c r="G25" s="65"/>
      <c r="H25" s="67"/>
    </row>
    <row r="26" spans="1:10" x14ac:dyDescent="0.2">
      <c r="A26" s="12" t="s">
        <v>379</v>
      </c>
      <c r="B26" s="71"/>
      <c r="C26" s="12" t="s">
        <v>116</v>
      </c>
      <c r="D26" s="12"/>
      <c r="E26" s="12"/>
      <c r="F26" s="12" t="s">
        <v>366</v>
      </c>
      <c r="G26" s="12" t="s">
        <v>413</v>
      </c>
      <c r="H26" s="68" t="s">
        <v>380</v>
      </c>
      <c r="J26" s="5"/>
    </row>
    <row r="27" spans="1:10" x14ac:dyDescent="0.2">
      <c r="A27" s="116">
        <v>1225</v>
      </c>
      <c r="B27" s="120"/>
      <c r="C27" s="112" t="s">
        <v>427</v>
      </c>
      <c r="D27" s="112"/>
      <c r="E27" s="112"/>
      <c r="F27" s="115" t="s">
        <v>374</v>
      </c>
      <c r="G27" s="110" t="s">
        <v>428</v>
      </c>
      <c r="H27" s="152">
        <v>205.5</v>
      </c>
      <c r="I27" s="196"/>
      <c r="J27" s="5"/>
    </row>
    <row r="28" spans="1:10" x14ac:dyDescent="0.2">
      <c r="A28" s="140">
        <v>1226</v>
      </c>
      <c r="B28" s="124"/>
      <c r="C28" s="138" t="s">
        <v>429</v>
      </c>
      <c r="D28" s="138"/>
      <c r="E28" s="138"/>
      <c r="F28" s="128" t="s">
        <v>374</v>
      </c>
      <c r="G28" s="122" t="s">
        <v>430</v>
      </c>
      <c r="H28" s="135">
        <v>247.2</v>
      </c>
      <c r="I28" s="196"/>
    </row>
    <row r="29" spans="1:10" x14ac:dyDescent="0.2">
      <c r="A29" s="116">
        <v>1227</v>
      </c>
      <c r="B29" s="120"/>
      <c r="C29" s="112" t="s">
        <v>431</v>
      </c>
      <c r="D29" s="112"/>
      <c r="E29" s="112"/>
      <c r="F29" s="111" t="s">
        <v>372</v>
      </c>
      <c r="G29" s="110" t="s">
        <v>432</v>
      </c>
      <c r="H29" s="152">
        <v>360.7</v>
      </c>
      <c r="I29" s="196"/>
    </row>
    <row r="30" spans="1:10" x14ac:dyDescent="0.2">
      <c r="A30" s="140">
        <v>1228</v>
      </c>
      <c r="B30" s="139" t="s">
        <v>23</v>
      </c>
      <c r="C30" s="138" t="s">
        <v>433</v>
      </c>
      <c r="D30" s="138"/>
      <c r="E30" s="138"/>
      <c r="F30" s="123" t="s">
        <v>372</v>
      </c>
      <c r="G30" s="122" t="s">
        <v>434</v>
      </c>
      <c r="H30" s="135">
        <v>378.1</v>
      </c>
      <c r="I30" s="196"/>
    </row>
    <row r="31" spans="1:10" x14ac:dyDescent="0.2">
      <c r="A31" s="116">
        <v>1229</v>
      </c>
      <c r="B31" s="120"/>
      <c r="C31" s="112" t="s">
        <v>435</v>
      </c>
      <c r="D31" s="112"/>
      <c r="E31" s="112"/>
      <c r="F31" s="111" t="s">
        <v>372</v>
      </c>
      <c r="G31" s="110" t="s">
        <v>436</v>
      </c>
      <c r="H31" s="152">
        <v>503</v>
      </c>
      <c r="I31" s="196"/>
      <c r="J31" s="5"/>
    </row>
    <row r="32" spans="1:10" x14ac:dyDescent="0.2">
      <c r="A32" s="140">
        <v>1230</v>
      </c>
      <c r="B32" s="139" t="s">
        <v>23</v>
      </c>
      <c r="C32" s="138" t="s">
        <v>437</v>
      </c>
      <c r="D32" s="138"/>
      <c r="E32" s="138"/>
      <c r="F32" s="123" t="s">
        <v>372</v>
      </c>
      <c r="G32" s="122" t="s">
        <v>438</v>
      </c>
      <c r="H32" s="135">
        <v>527.70000000000005</v>
      </c>
      <c r="I32" s="196"/>
      <c r="J32" s="5"/>
    </row>
    <row r="33" spans="1:10" x14ac:dyDescent="0.2">
      <c r="A33" s="174"/>
      <c r="B33" s="175"/>
      <c r="C33" s="58"/>
      <c r="D33" s="58"/>
      <c r="I33" s="196"/>
      <c r="J33" s="5"/>
    </row>
    <row r="34" spans="1:10" ht="15" x14ac:dyDescent="0.2">
      <c r="A34" s="145" t="s">
        <v>439</v>
      </c>
      <c r="B34" s="59"/>
      <c r="C34" s="57"/>
      <c r="D34" s="57"/>
      <c r="E34" s="59"/>
      <c r="F34" s="63"/>
      <c r="G34" s="65"/>
      <c r="H34" s="67"/>
      <c r="J34" s="5"/>
    </row>
    <row r="35" spans="1:10" x14ac:dyDescent="0.2">
      <c r="A35" s="12" t="s">
        <v>379</v>
      </c>
      <c r="B35" s="71"/>
      <c r="C35" s="12" t="s">
        <v>116</v>
      </c>
      <c r="D35" s="12"/>
      <c r="E35" s="12"/>
      <c r="F35" s="12" t="s">
        <v>366</v>
      </c>
      <c r="G35" s="12" t="s">
        <v>413</v>
      </c>
      <c r="H35" s="68" t="s">
        <v>380</v>
      </c>
      <c r="J35" s="5"/>
    </row>
    <row r="36" spans="1:10" x14ac:dyDescent="0.2">
      <c r="A36" s="116">
        <v>1231</v>
      </c>
      <c r="B36" s="120"/>
      <c r="C36" s="112" t="s">
        <v>440</v>
      </c>
      <c r="D36" s="112"/>
      <c r="E36" s="112"/>
      <c r="F36" s="111" t="s">
        <v>372</v>
      </c>
      <c r="G36" s="110" t="s">
        <v>441</v>
      </c>
      <c r="H36" s="152">
        <v>978.9</v>
      </c>
      <c r="I36" s="196"/>
      <c r="J36" s="5"/>
    </row>
    <row r="37" spans="1:10" x14ac:dyDescent="0.2">
      <c r="A37" s="140">
        <v>1232</v>
      </c>
      <c r="B37" s="139" t="s">
        <v>23</v>
      </c>
      <c r="C37" s="138" t="s">
        <v>442</v>
      </c>
      <c r="D37" s="138"/>
      <c r="E37" s="138"/>
      <c r="F37" s="123" t="s">
        <v>372</v>
      </c>
      <c r="G37" s="122" t="s">
        <v>443</v>
      </c>
      <c r="H37" s="135">
        <v>1004.1</v>
      </c>
      <c r="I37" s="196"/>
    </row>
    <row r="38" spans="1:10" x14ac:dyDescent="0.2">
      <c r="A38" s="116">
        <v>1233</v>
      </c>
      <c r="B38" s="118" t="s">
        <v>23</v>
      </c>
      <c r="C38" s="112" t="s">
        <v>444</v>
      </c>
      <c r="D38" s="112"/>
      <c r="E38" s="112"/>
      <c r="F38" s="111" t="s">
        <v>372</v>
      </c>
      <c r="G38" s="110" t="s">
        <v>445</v>
      </c>
      <c r="H38" s="152">
        <v>1284.8</v>
      </c>
      <c r="I38" s="196"/>
    </row>
    <row r="39" spans="1:10" x14ac:dyDescent="0.2">
      <c r="A39" s="140">
        <v>1234</v>
      </c>
      <c r="B39" s="139" t="s">
        <v>23</v>
      </c>
      <c r="C39" s="138" t="s">
        <v>446</v>
      </c>
      <c r="D39" s="138"/>
      <c r="E39" s="138"/>
      <c r="F39" s="123" t="s">
        <v>372</v>
      </c>
      <c r="G39" s="122" t="s">
        <v>447</v>
      </c>
      <c r="H39" s="135">
        <v>1050.3</v>
      </c>
      <c r="I39" s="196"/>
    </row>
    <row r="40" spans="1:10" x14ac:dyDescent="0.2">
      <c r="A40" s="116">
        <v>1235</v>
      </c>
      <c r="B40" s="118" t="s">
        <v>23</v>
      </c>
      <c r="C40" s="236" t="s">
        <v>448</v>
      </c>
      <c r="D40" s="236"/>
      <c r="E40" s="236"/>
      <c r="F40" s="111" t="s">
        <v>372</v>
      </c>
      <c r="G40" s="110" t="s">
        <v>449</v>
      </c>
      <c r="H40" s="152">
        <v>1077.8</v>
      </c>
      <c r="I40" s="196"/>
      <c r="J40" s="5"/>
    </row>
    <row r="41" spans="1:10" x14ac:dyDescent="0.2">
      <c r="B41" s="1"/>
      <c r="E41" s="1"/>
      <c r="F41" s="1"/>
      <c r="G41" s="1"/>
      <c r="H41" s="1"/>
      <c r="I41" s="196"/>
      <c r="J41" s="5"/>
    </row>
    <row r="42" spans="1:10" ht="15" x14ac:dyDescent="0.2">
      <c r="A42" s="145" t="s">
        <v>450</v>
      </c>
      <c r="B42" s="59"/>
      <c r="C42" s="57"/>
      <c r="D42" s="57"/>
      <c r="E42" s="59"/>
      <c r="F42" s="63"/>
      <c r="G42" s="65"/>
      <c r="H42" s="67"/>
      <c r="J42" s="5"/>
    </row>
    <row r="43" spans="1:10" x14ac:dyDescent="0.2">
      <c r="A43" s="12" t="s">
        <v>379</v>
      </c>
      <c r="B43" s="71"/>
      <c r="C43" s="245" t="s">
        <v>116</v>
      </c>
      <c r="D43" s="245"/>
      <c r="E43" s="245"/>
      <c r="F43" s="12" t="s">
        <v>366</v>
      </c>
      <c r="G43" s="12" t="s">
        <v>413</v>
      </c>
      <c r="H43" s="68" t="s">
        <v>380</v>
      </c>
      <c r="J43" s="5"/>
    </row>
    <row r="44" spans="1:10" x14ac:dyDescent="0.2">
      <c r="A44" s="116">
        <v>1221</v>
      </c>
      <c r="B44" s="118" t="s">
        <v>23</v>
      </c>
      <c r="C44" s="236" t="s">
        <v>451</v>
      </c>
      <c r="D44" s="236"/>
      <c r="E44" s="236"/>
      <c r="F44" s="111" t="s">
        <v>452</v>
      </c>
      <c r="G44" s="110" t="s">
        <v>453</v>
      </c>
      <c r="H44" s="152">
        <v>1000.5</v>
      </c>
      <c r="J44" s="5"/>
    </row>
    <row r="45" spans="1:10" x14ac:dyDescent="0.2">
      <c r="A45" s="140">
        <v>1222</v>
      </c>
      <c r="B45" s="141"/>
      <c r="C45" s="235" t="s">
        <v>454</v>
      </c>
      <c r="D45" s="235"/>
      <c r="E45" s="235"/>
      <c r="F45" s="123" t="s">
        <v>452</v>
      </c>
      <c r="G45" s="122" t="s">
        <v>455</v>
      </c>
      <c r="H45" s="135">
        <v>1050.2</v>
      </c>
    </row>
    <row r="46" spans="1:10" x14ac:dyDescent="0.2">
      <c r="A46" s="119">
        <v>1267</v>
      </c>
      <c r="B46" s="118" t="s">
        <v>23</v>
      </c>
      <c r="C46" s="236" t="s">
        <v>456</v>
      </c>
      <c r="D46" s="236"/>
      <c r="E46" s="236"/>
      <c r="F46" s="111" t="s">
        <v>452</v>
      </c>
      <c r="G46" s="110" t="s">
        <v>457</v>
      </c>
      <c r="H46" s="152">
        <v>1394.6</v>
      </c>
    </row>
    <row r="47" spans="1:10" x14ac:dyDescent="0.2">
      <c r="A47" s="129">
        <v>1223</v>
      </c>
      <c r="B47" s="165"/>
      <c r="C47" s="235" t="s">
        <v>458</v>
      </c>
      <c r="D47" s="235"/>
      <c r="E47" s="235"/>
      <c r="F47" s="123" t="s">
        <v>452</v>
      </c>
      <c r="G47" s="122" t="s">
        <v>459</v>
      </c>
      <c r="H47" s="135">
        <v>1135.0999999999999</v>
      </c>
    </row>
    <row r="48" spans="1:10" x14ac:dyDescent="0.2">
      <c r="A48" s="119">
        <v>1224</v>
      </c>
      <c r="B48" s="166"/>
      <c r="C48" s="236" t="s">
        <v>460</v>
      </c>
      <c r="D48" s="236"/>
      <c r="E48" s="236"/>
      <c r="F48" s="111" t="s">
        <v>452</v>
      </c>
      <c r="G48" s="110" t="s">
        <v>461</v>
      </c>
      <c r="H48" s="152">
        <v>1181.8</v>
      </c>
    </row>
    <row r="49" spans="1:8" x14ac:dyDescent="0.2">
      <c r="A49" s="50"/>
      <c r="B49" s="50"/>
      <c r="C49" s="50"/>
      <c r="D49" s="50"/>
      <c r="E49" s="50"/>
      <c r="F49" s="50"/>
      <c r="G49" s="50"/>
      <c r="H49" s="50"/>
    </row>
    <row r="50" spans="1:8" ht="15" x14ac:dyDescent="0.2">
      <c r="A50" s="222" t="s">
        <v>576</v>
      </c>
      <c r="B50" s="57"/>
      <c r="C50" s="57"/>
      <c r="D50" s="59"/>
      <c r="E50" s="63"/>
      <c r="F50" s="65"/>
      <c r="G50" s="67"/>
      <c r="H50" s="67"/>
    </row>
    <row r="51" spans="1:8" x14ac:dyDescent="0.2">
      <c r="A51" s="71" t="s">
        <v>379</v>
      </c>
      <c r="B51" s="12"/>
      <c r="C51" s="12" t="s">
        <v>116</v>
      </c>
      <c r="D51" s="12"/>
      <c r="E51" s="12"/>
      <c r="F51" s="12"/>
      <c r="G51" s="68"/>
      <c r="H51" s="68" t="s">
        <v>380</v>
      </c>
    </row>
    <row r="52" spans="1:8" x14ac:dyDescent="0.2">
      <c r="A52" s="116">
        <v>7255</v>
      </c>
      <c r="B52" s="120"/>
      <c r="C52" s="112" t="s">
        <v>573</v>
      </c>
      <c r="D52" s="112"/>
      <c r="E52" s="112"/>
      <c r="F52" s="115"/>
      <c r="G52" s="110"/>
      <c r="H52" s="152">
        <v>986.9</v>
      </c>
    </row>
    <row r="53" spans="1:8" x14ac:dyDescent="0.2">
      <c r="A53" s="116">
        <v>7254</v>
      </c>
      <c r="B53" s="120"/>
      <c r="C53" s="112" t="s">
        <v>599</v>
      </c>
      <c r="D53" s="112"/>
      <c r="E53" s="112"/>
      <c r="F53" s="115"/>
      <c r="G53" s="110"/>
      <c r="H53" s="152">
        <v>141.9</v>
      </c>
    </row>
    <row r="54" spans="1:8" x14ac:dyDescent="0.2">
      <c r="A54" s="116">
        <v>7253</v>
      </c>
      <c r="B54" s="120"/>
      <c r="C54" s="236" t="s">
        <v>600</v>
      </c>
      <c r="D54" s="236"/>
      <c r="E54" s="236"/>
      <c r="F54" s="115"/>
      <c r="G54" s="110"/>
      <c r="H54" s="152">
        <v>74.400000000000006</v>
      </c>
    </row>
    <row r="55" spans="1:8" x14ac:dyDescent="0.2">
      <c r="A55" s="223" t="s">
        <v>588</v>
      </c>
      <c r="B55" s="120"/>
      <c r="C55" s="112" t="s">
        <v>586</v>
      </c>
      <c r="D55" s="112"/>
      <c r="E55" s="112"/>
      <c r="F55" s="115"/>
      <c r="G55" s="110"/>
      <c r="H55" s="152">
        <v>60.6</v>
      </c>
    </row>
    <row r="56" spans="1:8" x14ac:dyDescent="0.2">
      <c r="A56" s="223" t="s">
        <v>567</v>
      </c>
      <c r="B56" s="120"/>
      <c r="C56" s="112" t="s">
        <v>574</v>
      </c>
      <c r="D56" s="112"/>
      <c r="E56" s="112"/>
      <c r="F56" s="115"/>
      <c r="G56" s="110"/>
      <c r="H56" s="152">
        <v>63</v>
      </c>
    </row>
    <row r="57" spans="1:8" x14ac:dyDescent="0.2">
      <c r="A57" s="223" t="s">
        <v>568</v>
      </c>
      <c r="B57" s="120"/>
      <c r="C57" s="112" t="s">
        <v>575</v>
      </c>
      <c r="D57" s="112"/>
      <c r="E57" s="112"/>
      <c r="F57" s="115"/>
      <c r="G57" s="110"/>
      <c r="H57" s="152">
        <v>63</v>
      </c>
    </row>
    <row r="58" spans="1:8" x14ac:dyDescent="0.2">
      <c r="A58" s="223" t="s">
        <v>570</v>
      </c>
      <c r="B58" s="120"/>
      <c r="C58" s="112" t="s">
        <v>569</v>
      </c>
      <c r="D58" s="112"/>
      <c r="E58" s="112"/>
      <c r="F58" s="115"/>
      <c r="G58" s="110"/>
      <c r="H58" s="152">
        <v>64.400000000000006</v>
      </c>
    </row>
    <row r="59" spans="1:8" x14ac:dyDescent="0.2">
      <c r="A59" s="223" t="s">
        <v>572</v>
      </c>
      <c r="B59" s="120"/>
      <c r="C59" s="112" t="s">
        <v>571</v>
      </c>
      <c r="D59" s="112"/>
      <c r="E59" s="112"/>
      <c r="F59" s="115"/>
      <c r="G59" s="110"/>
      <c r="H59" s="152">
        <v>62.9</v>
      </c>
    </row>
    <row r="60" spans="1:8" x14ac:dyDescent="0.2">
      <c r="A60" s="223" t="s">
        <v>590</v>
      </c>
      <c r="B60" s="120"/>
      <c r="C60" s="112" t="s">
        <v>591</v>
      </c>
      <c r="D60" s="112"/>
      <c r="E60" s="112"/>
      <c r="F60" s="115"/>
      <c r="G60" s="110"/>
      <c r="H60" s="152">
        <v>62.9</v>
      </c>
    </row>
    <row r="61" spans="1:8" x14ac:dyDescent="0.2">
      <c r="A61" s="223" t="s">
        <v>578</v>
      </c>
      <c r="B61" s="120"/>
      <c r="C61" s="112" t="s">
        <v>580</v>
      </c>
      <c r="D61" s="112"/>
      <c r="E61" s="112"/>
      <c r="F61" s="115"/>
      <c r="G61" s="110"/>
      <c r="H61" s="152">
        <v>62.9</v>
      </c>
    </row>
    <row r="62" spans="1:8" x14ac:dyDescent="0.2">
      <c r="A62" s="223" t="s">
        <v>579</v>
      </c>
      <c r="B62" s="120"/>
      <c r="C62" s="112" t="s">
        <v>581</v>
      </c>
      <c r="D62" s="112"/>
      <c r="E62" s="112"/>
      <c r="F62" s="115"/>
      <c r="G62" s="110"/>
      <c r="H62" s="152">
        <v>62.9</v>
      </c>
    </row>
    <row r="63" spans="1:8" x14ac:dyDescent="0.2">
      <c r="A63" s="223" t="s">
        <v>589</v>
      </c>
      <c r="B63" s="120"/>
      <c r="C63" s="112" t="s">
        <v>587</v>
      </c>
      <c r="D63" s="112"/>
      <c r="E63" s="112"/>
      <c r="F63" s="115"/>
      <c r="G63" s="110"/>
      <c r="H63" s="152">
        <v>62.9</v>
      </c>
    </row>
    <row r="64" spans="1:8" x14ac:dyDescent="0.2">
      <c r="A64" s="223" t="s">
        <v>582</v>
      </c>
      <c r="B64" s="120"/>
      <c r="C64" s="112" t="s">
        <v>584</v>
      </c>
      <c r="D64" s="112"/>
      <c r="E64" s="112"/>
      <c r="F64" s="115"/>
      <c r="G64" s="110"/>
      <c r="H64" s="152">
        <v>62.9</v>
      </c>
    </row>
    <row r="65" spans="1:10" x14ac:dyDescent="0.2">
      <c r="A65" s="223" t="s">
        <v>583</v>
      </c>
      <c r="B65" s="120"/>
      <c r="C65" s="112" t="s">
        <v>585</v>
      </c>
      <c r="D65" s="112"/>
      <c r="E65" s="112"/>
      <c r="F65" s="115"/>
      <c r="G65" s="110"/>
      <c r="H65" s="152">
        <v>62.9</v>
      </c>
    </row>
    <row r="66" spans="1:10" x14ac:dyDescent="0.2">
      <c r="A66" s="223" t="s">
        <v>592</v>
      </c>
      <c r="B66" s="120"/>
      <c r="C66" s="112" t="s">
        <v>594</v>
      </c>
      <c r="D66" s="112"/>
      <c r="E66" s="112"/>
      <c r="F66" s="115"/>
      <c r="G66" s="110"/>
      <c r="H66" s="152">
        <v>23.2</v>
      </c>
    </row>
    <row r="67" spans="1:10" x14ac:dyDescent="0.2">
      <c r="A67" s="223" t="s">
        <v>593</v>
      </c>
      <c r="B67" s="120"/>
      <c r="C67" s="112" t="s">
        <v>595</v>
      </c>
      <c r="D67" s="112"/>
      <c r="E67" s="112"/>
      <c r="F67" s="115"/>
      <c r="G67" s="110"/>
      <c r="H67" s="152">
        <v>75</v>
      </c>
    </row>
    <row r="68" spans="1:10" x14ac:dyDescent="0.2">
      <c r="B68" s="1"/>
      <c r="E68" s="1"/>
      <c r="F68" s="1"/>
      <c r="G68" s="1"/>
      <c r="H68" s="1"/>
      <c r="I68" s="196"/>
    </row>
    <row r="69" spans="1:10" ht="15" x14ac:dyDescent="0.2">
      <c r="A69" s="145" t="s">
        <v>462</v>
      </c>
      <c r="B69" s="59"/>
      <c r="C69" s="57"/>
      <c r="D69" s="57"/>
      <c r="E69" s="59"/>
      <c r="F69" s="63"/>
      <c r="G69" s="65"/>
      <c r="H69" s="67"/>
    </row>
    <row r="70" spans="1:10" x14ac:dyDescent="0.2">
      <c r="A70" s="12" t="s">
        <v>379</v>
      </c>
      <c r="B70" s="71"/>
      <c r="C70" s="12" t="s">
        <v>116</v>
      </c>
      <c r="D70" s="12"/>
      <c r="E70" s="12"/>
      <c r="F70" s="12" t="s">
        <v>366</v>
      </c>
      <c r="G70" s="12" t="s">
        <v>413</v>
      </c>
      <c r="H70" s="68" t="s">
        <v>380</v>
      </c>
    </row>
    <row r="71" spans="1:10" x14ac:dyDescent="0.2">
      <c r="A71" s="119">
        <v>1236</v>
      </c>
      <c r="B71" s="118" t="s">
        <v>23</v>
      </c>
      <c r="C71" s="112" t="s">
        <v>463</v>
      </c>
      <c r="D71" s="112"/>
      <c r="E71" s="112"/>
      <c r="F71" s="111" t="s">
        <v>464</v>
      </c>
      <c r="G71" s="110" t="s">
        <v>465</v>
      </c>
      <c r="H71" s="152">
        <v>3257.6</v>
      </c>
    </row>
    <row r="72" spans="1:10" x14ac:dyDescent="0.2">
      <c r="A72" s="140">
        <v>1238</v>
      </c>
      <c r="B72" s="139" t="s">
        <v>23</v>
      </c>
      <c r="C72" s="138" t="s">
        <v>466</v>
      </c>
      <c r="D72" s="138"/>
      <c r="E72" s="138"/>
      <c r="F72" s="123" t="s">
        <v>464</v>
      </c>
      <c r="G72" s="122" t="s">
        <v>467</v>
      </c>
      <c r="H72" s="135">
        <v>3304.8</v>
      </c>
    </row>
    <row r="73" spans="1:10" ht="12.75" customHeight="1" x14ac:dyDescent="0.2">
      <c r="A73" s="116">
        <v>1256</v>
      </c>
      <c r="B73" s="118" t="s">
        <v>23</v>
      </c>
      <c r="C73" s="236" t="s">
        <v>468</v>
      </c>
      <c r="D73" s="236"/>
      <c r="E73" s="236"/>
      <c r="F73" s="111" t="s">
        <v>464</v>
      </c>
      <c r="G73" s="110"/>
      <c r="H73" s="152">
        <v>3553.3</v>
      </c>
    </row>
    <row r="74" spans="1:10" x14ac:dyDescent="0.2">
      <c r="A74" s="129">
        <v>1258</v>
      </c>
      <c r="B74" s="139" t="s">
        <v>23</v>
      </c>
      <c r="C74" s="235" t="s">
        <v>469</v>
      </c>
      <c r="D74" s="235"/>
      <c r="E74" s="235"/>
      <c r="F74" s="123" t="s">
        <v>464</v>
      </c>
      <c r="G74" s="122"/>
      <c r="H74" s="135">
        <v>3600.5</v>
      </c>
    </row>
    <row r="77" spans="1:10" s="50" customFormat="1" x14ac:dyDescent="0.2">
      <c r="I77" s="196"/>
      <c r="J77" s="5"/>
    </row>
    <row r="78" spans="1:10" s="50" customFormat="1" x14ac:dyDescent="0.2">
      <c r="I78" s="196"/>
      <c r="J78" s="5"/>
    </row>
    <row r="79" spans="1:10" x14ac:dyDescent="0.2">
      <c r="I79" s="196"/>
      <c r="J79" s="5"/>
    </row>
    <row r="80" spans="1:10" s="50" customFormat="1" x14ac:dyDescent="0.2"/>
    <row r="81" spans="1:10" s="50" customFormat="1" x14ac:dyDescent="0.2"/>
    <row r="82" spans="1:10" s="50" customFormat="1" x14ac:dyDescent="0.2">
      <c r="I82" s="196"/>
    </row>
    <row r="83" spans="1:10" s="50" customFormat="1" x14ac:dyDescent="0.2">
      <c r="I83" s="196"/>
      <c r="J83" s="5"/>
    </row>
    <row r="84" spans="1:10" s="50" customFormat="1" x14ac:dyDescent="0.2">
      <c r="I84" s="196"/>
      <c r="J84" s="5"/>
    </row>
    <row r="85" spans="1:10" s="50" customFormat="1" x14ac:dyDescent="0.2">
      <c r="I85" s="196"/>
      <c r="J85" s="5"/>
    </row>
    <row r="86" spans="1:10" s="50" customFormat="1" x14ac:dyDescent="0.2">
      <c r="I86" s="196"/>
      <c r="J86" s="5"/>
    </row>
    <row r="87" spans="1:10" s="50" customFormat="1" x14ac:dyDescent="0.2"/>
    <row r="88" spans="1:10" s="50" customFormat="1" x14ac:dyDescent="0.2"/>
    <row r="89" spans="1:10" s="50" customFormat="1" x14ac:dyDescent="0.2"/>
    <row r="90" spans="1:10" s="50" customFormat="1" x14ac:dyDescent="0.2"/>
    <row r="91" spans="1:10" s="50" customFormat="1" x14ac:dyDescent="0.2"/>
    <row r="92" spans="1:10" s="50" customFormat="1" x14ac:dyDescent="0.2">
      <c r="A92" s="3"/>
      <c r="B92" s="58"/>
      <c r="C92" s="2"/>
      <c r="D92" s="2"/>
      <c r="E92" s="58"/>
      <c r="F92" s="2"/>
      <c r="G92" s="3"/>
      <c r="H92" s="5"/>
    </row>
    <row r="93" spans="1:10" s="50" customFormat="1" x14ac:dyDescent="0.2">
      <c r="A93" s="3"/>
      <c r="B93" s="58"/>
      <c r="C93" s="2"/>
      <c r="D93" s="2"/>
      <c r="E93" s="58"/>
      <c r="F93" s="2"/>
      <c r="G93" s="3"/>
      <c r="H93" s="5"/>
    </row>
    <row r="94" spans="1:10" s="50" customFormat="1" x14ac:dyDescent="0.2">
      <c r="A94" s="3"/>
      <c r="B94" s="58"/>
      <c r="C94" s="2"/>
      <c r="D94" s="2"/>
      <c r="E94" s="58"/>
      <c r="F94" s="2"/>
      <c r="G94" s="3"/>
      <c r="H94" s="5"/>
    </row>
    <row r="95" spans="1:10" s="50" customFormat="1" x14ac:dyDescent="0.2">
      <c r="A95" s="3"/>
      <c r="B95" s="58"/>
      <c r="C95" s="2"/>
      <c r="D95" s="2"/>
      <c r="E95" s="58"/>
      <c r="F95" s="2"/>
      <c r="G95" s="3"/>
      <c r="H95" s="5"/>
    </row>
    <row r="96" spans="1:10" s="50" customFormat="1" x14ac:dyDescent="0.2">
      <c r="A96" s="3"/>
      <c r="B96" s="58"/>
      <c r="C96" s="1"/>
      <c r="D96" s="1"/>
      <c r="E96" s="58"/>
      <c r="F96" s="2"/>
      <c r="G96" s="3"/>
      <c r="H96" s="5"/>
    </row>
    <row r="97" spans="1:8" s="50" customFormat="1" x14ac:dyDescent="0.2">
      <c r="A97" s="34"/>
      <c r="B97" s="49"/>
      <c r="C97" s="34"/>
      <c r="D97" s="34"/>
      <c r="E97" s="49"/>
      <c r="F97" s="64"/>
      <c r="G97" s="66"/>
      <c r="H97" s="69"/>
    </row>
    <row r="98" spans="1:8" s="50" customFormat="1" x14ac:dyDescent="0.2">
      <c r="A98" s="35"/>
      <c r="B98" s="117"/>
      <c r="C98" s="62"/>
      <c r="D98" s="35"/>
      <c r="E98" s="35"/>
      <c r="F98" s="62"/>
      <c r="G98" s="35"/>
      <c r="H98" s="70"/>
    </row>
    <row r="99" spans="1:8" s="50" customFormat="1" x14ac:dyDescent="0.2">
      <c r="A99" s="3"/>
      <c r="B99" s="58"/>
      <c r="C99" s="2"/>
      <c r="D99" s="2"/>
      <c r="E99" s="58"/>
      <c r="F99" s="2"/>
      <c r="G99" s="3"/>
      <c r="H99" s="5"/>
    </row>
    <row r="100" spans="1:8" s="50" customFormat="1" x14ac:dyDescent="0.2">
      <c r="A100" s="3"/>
      <c r="B100" s="58"/>
      <c r="C100" s="2"/>
      <c r="D100" s="2"/>
      <c r="E100" s="58"/>
      <c r="F100" s="2"/>
      <c r="G100" s="3"/>
      <c r="H100" s="5"/>
    </row>
    <row r="101" spans="1:8" s="50" customFormat="1" x14ac:dyDescent="0.2">
      <c r="A101" s="3"/>
      <c r="B101" s="58"/>
      <c r="C101" s="2"/>
      <c r="D101" s="2"/>
      <c r="E101" s="58"/>
      <c r="F101" s="2"/>
      <c r="G101" s="3"/>
      <c r="H101" s="5"/>
    </row>
    <row r="102" spans="1:8" s="50" customFormat="1" x14ac:dyDescent="0.2">
      <c r="A102" s="3"/>
      <c r="B102" s="58"/>
      <c r="C102" s="2"/>
      <c r="D102" s="2"/>
      <c r="E102" s="58"/>
      <c r="F102" s="2"/>
      <c r="G102" s="3"/>
      <c r="H102" s="5"/>
    </row>
    <row r="103" spans="1:8" s="50" customFormat="1" x14ac:dyDescent="0.2">
      <c r="A103" s="3"/>
      <c r="B103" s="58"/>
      <c r="C103" s="2"/>
      <c r="D103" s="2"/>
      <c r="E103" s="58"/>
      <c r="F103" s="2"/>
      <c r="G103" s="3"/>
      <c r="H103" s="5"/>
    </row>
    <row r="104" spans="1:8" s="50" customFormat="1" x14ac:dyDescent="0.2">
      <c r="A104" s="3"/>
      <c r="B104" s="58"/>
      <c r="C104" s="2"/>
      <c r="D104" s="2"/>
      <c r="E104" s="58"/>
      <c r="F104" s="2"/>
      <c r="G104" s="3"/>
      <c r="H104" s="5"/>
    </row>
    <row r="105" spans="1:8" s="50" customFormat="1" x14ac:dyDescent="0.2">
      <c r="A105" s="3"/>
      <c r="B105" s="58"/>
      <c r="C105" s="2"/>
      <c r="D105" s="2"/>
      <c r="E105" s="58"/>
      <c r="F105" s="2"/>
      <c r="G105" s="3"/>
      <c r="H105" s="5"/>
    </row>
    <row r="106" spans="1:8" s="50" customFormat="1" x14ac:dyDescent="0.2">
      <c r="A106" s="3"/>
      <c r="B106" s="58"/>
      <c r="C106" s="2"/>
      <c r="D106" s="2"/>
      <c r="E106" s="58"/>
      <c r="F106" s="2"/>
      <c r="G106" s="3"/>
      <c r="H106" s="5"/>
    </row>
    <row r="107" spans="1:8" s="50" customFormat="1" x14ac:dyDescent="0.2">
      <c r="A107" s="3"/>
      <c r="B107" s="58"/>
      <c r="C107" s="2"/>
      <c r="D107" s="2"/>
      <c r="E107" s="58"/>
      <c r="F107" s="2"/>
      <c r="G107" s="3"/>
      <c r="H107" s="5"/>
    </row>
    <row r="108" spans="1:8" s="50" customFormat="1" x14ac:dyDescent="0.2">
      <c r="A108" s="3"/>
      <c r="B108" s="58"/>
      <c r="C108" s="2"/>
      <c r="D108" s="2"/>
      <c r="E108" s="58"/>
      <c r="F108" s="2"/>
      <c r="G108" s="3"/>
      <c r="H108" s="5"/>
    </row>
    <row r="109" spans="1:8" s="50" customFormat="1" x14ac:dyDescent="0.2">
      <c r="A109" s="3"/>
      <c r="B109" s="58"/>
      <c r="C109" s="2"/>
      <c r="D109" s="2"/>
      <c r="E109" s="58"/>
      <c r="F109" s="2"/>
      <c r="G109" s="3"/>
      <c r="H109" s="5"/>
    </row>
    <row r="110" spans="1:8" s="50" customFormat="1" x14ac:dyDescent="0.2">
      <c r="A110" s="3"/>
      <c r="B110" s="58"/>
      <c r="C110" s="2"/>
      <c r="D110" s="2"/>
      <c r="E110" s="58"/>
      <c r="F110" s="2"/>
      <c r="G110" s="3"/>
      <c r="H110" s="5"/>
    </row>
    <row r="111" spans="1:8" s="50" customFormat="1" x14ac:dyDescent="0.2">
      <c r="A111" s="3"/>
      <c r="B111" s="58"/>
      <c r="C111" s="2"/>
      <c r="D111" s="2"/>
      <c r="E111" s="58"/>
      <c r="F111" s="2"/>
      <c r="G111" s="3"/>
      <c r="H111" s="5"/>
    </row>
    <row r="112" spans="1:8" s="50" customFormat="1" x14ac:dyDescent="0.2">
      <c r="A112" s="1"/>
      <c r="B112" s="58"/>
      <c r="C112" s="1"/>
      <c r="D112" s="1"/>
      <c r="E112" s="58"/>
      <c r="F112" s="2"/>
      <c r="G112" s="3"/>
      <c r="H112" s="5"/>
    </row>
    <row r="113" spans="1:8" s="50" customFormat="1" x14ac:dyDescent="0.2">
      <c r="A113" s="34"/>
      <c r="B113" s="49"/>
      <c r="C113" s="34"/>
      <c r="D113" s="34"/>
      <c r="E113" s="49"/>
      <c r="F113" s="64"/>
      <c r="G113" s="66"/>
      <c r="H113" s="69"/>
    </row>
    <row r="114" spans="1:8" s="50" customFormat="1" x14ac:dyDescent="0.2">
      <c r="A114" s="35"/>
      <c r="B114" s="117"/>
      <c r="C114" s="62"/>
      <c r="D114" s="35"/>
      <c r="E114" s="35"/>
      <c r="F114" s="62"/>
      <c r="G114" s="35"/>
      <c r="H114" s="70"/>
    </row>
    <row r="115" spans="1:8" s="50" customFormat="1" x14ac:dyDescent="0.2">
      <c r="A115" s="3"/>
      <c r="B115" s="58"/>
      <c r="C115" s="2"/>
      <c r="D115" s="2"/>
      <c r="E115" s="58"/>
      <c r="F115" s="2"/>
      <c r="G115" s="3"/>
      <c r="H115" s="5"/>
    </row>
    <row r="116" spans="1:8" s="50" customFormat="1" x14ac:dyDescent="0.2">
      <c r="A116" s="3"/>
      <c r="B116" s="58"/>
      <c r="C116" s="2"/>
      <c r="D116" s="2"/>
      <c r="E116" s="58"/>
      <c r="F116" s="2"/>
      <c r="G116" s="3"/>
      <c r="H116" s="5"/>
    </row>
    <row r="117" spans="1:8" s="50" customFormat="1" x14ac:dyDescent="0.2">
      <c r="A117" s="3"/>
      <c r="B117" s="58"/>
      <c r="C117" s="2"/>
      <c r="D117" s="2"/>
      <c r="E117" s="58"/>
      <c r="F117" s="2"/>
      <c r="G117" s="3"/>
      <c r="H117" s="5"/>
    </row>
    <row r="118" spans="1:8" s="50" customFormat="1" x14ac:dyDescent="0.2">
      <c r="A118" s="3"/>
      <c r="B118" s="58"/>
      <c r="C118" s="1"/>
      <c r="D118" s="1"/>
      <c r="E118" s="58"/>
      <c r="F118" s="2"/>
      <c r="G118" s="3"/>
      <c r="H118" s="5"/>
    </row>
    <row r="119" spans="1:8" s="50" customFormat="1" x14ac:dyDescent="0.2">
      <c r="A119" s="3"/>
      <c r="B119" s="58"/>
      <c r="C119" s="1"/>
      <c r="D119" s="1"/>
      <c r="E119" s="58"/>
      <c r="F119" s="2"/>
      <c r="G119" s="3"/>
      <c r="H119" s="5"/>
    </row>
    <row r="120" spans="1:8" s="50" customFormat="1" x14ac:dyDescent="0.2">
      <c r="A120" s="3"/>
      <c r="B120" s="58"/>
      <c r="C120" s="1"/>
      <c r="D120" s="1"/>
      <c r="E120" s="58"/>
      <c r="F120" s="2"/>
      <c r="G120" s="3"/>
      <c r="H120" s="5"/>
    </row>
    <row r="121" spans="1:8" s="50" customFormat="1" x14ac:dyDescent="0.2">
      <c r="A121" s="3"/>
      <c r="B121" s="58"/>
      <c r="C121" s="1"/>
      <c r="D121" s="1"/>
      <c r="E121" s="58"/>
      <c r="F121" s="2"/>
      <c r="G121" s="3"/>
      <c r="H121" s="5"/>
    </row>
    <row r="122" spans="1:8" s="50" customFormat="1" x14ac:dyDescent="0.2">
      <c r="A122" s="1"/>
      <c r="B122" s="58"/>
      <c r="C122" s="1"/>
      <c r="D122" s="1"/>
      <c r="E122" s="58"/>
      <c r="F122" s="2"/>
      <c r="G122" s="3"/>
      <c r="H122" s="5"/>
    </row>
    <row r="123" spans="1:8" s="50" customFormat="1" x14ac:dyDescent="0.2">
      <c r="A123" s="1"/>
      <c r="B123" s="58"/>
      <c r="C123" s="1"/>
      <c r="D123" s="1"/>
      <c r="E123" s="58"/>
      <c r="F123" s="2"/>
      <c r="G123" s="3"/>
      <c r="H123" s="5"/>
    </row>
    <row r="124" spans="1:8" s="50" customFormat="1" x14ac:dyDescent="0.2">
      <c r="A124" s="1"/>
      <c r="B124" s="58"/>
      <c r="C124" s="1"/>
      <c r="D124" s="1"/>
      <c r="E124" s="58"/>
      <c r="F124" s="2"/>
      <c r="G124" s="3"/>
      <c r="H124" s="5"/>
    </row>
    <row r="125" spans="1:8" s="50" customFormat="1" x14ac:dyDescent="0.2">
      <c r="A125" s="1"/>
      <c r="B125" s="58"/>
      <c r="C125" s="1"/>
      <c r="D125" s="1"/>
      <c r="E125" s="58"/>
      <c r="F125" s="2"/>
      <c r="G125" s="3"/>
      <c r="H125" s="5"/>
    </row>
    <row r="127" spans="1:8" x14ac:dyDescent="0.2">
      <c r="A127" s="34"/>
      <c r="B127" s="49"/>
      <c r="C127" s="34"/>
      <c r="D127" s="34"/>
      <c r="E127" s="49"/>
      <c r="F127" s="64"/>
      <c r="G127" s="66"/>
      <c r="H127" s="69"/>
    </row>
    <row r="128" spans="1:8" x14ac:dyDescent="0.2">
      <c r="A128" s="35"/>
      <c r="B128" s="117"/>
      <c r="C128" s="62"/>
      <c r="D128" s="35"/>
      <c r="E128" s="35"/>
      <c r="F128" s="62"/>
      <c r="G128" s="35"/>
      <c r="H128" s="70"/>
    </row>
    <row r="129" spans="1:8" x14ac:dyDescent="0.2">
      <c r="A129" s="40"/>
      <c r="B129" s="61"/>
      <c r="C129" s="41"/>
      <c r="D129" s="41"/>
      <c r="E129" s="61"/>
      <c r="F129" s="41"/>
      <c r="G129" s="40"/>
      <c r="H129" s="51"/>
    </row>
    <row r="130" spans="1:8" x14ac:dyDescent="0.2">
      <c r="A130" s="40"/>
      <c r="B130" s="61"/>
      <c r="C130" s="41"/>
      <c r="D130" s="41"/>
      <c r="E130" s="61"/>
      <c r="F130" s="41"/>
      <c r="G130" s="40"/>
      <c r="H130" s="51"/>
    </row>
    <row r="131" spans="1:8" x14ac:dyDescent="0.2">
      <c r="A131" s="40"/>
      <c r="B131" s="61"/>
      <c r="C131" s="41"/>
      <c r="D131" s="41"/>
      <c r="E131" s="61"/>
      <c r="F131" s="41"/>
      <c r="G131" s="40"/>
      <c r="H131" s="51"/>
    </row>
    <row r="132" spans="1:8" x14ac:dyDescent="0.2">
      <c r="A132" s="40"/>
      <c r="B132" s="61"/>
      <c r="C132" s="41"/>
      <c r="D132" s="41"/>
      <c r="E132" s="61"/>
      <c r="F132" s="41"/>
      <c r="G132" s="40"/>
      <c r="H132" s="51"/>
    </row>
    <row r="133" spans="1:8" x14ac:dyDescent="0.2">
      <c r="A133" s="40"/>
      <c r="B133" s="61"/>
      <c r="C133" s="41"/>
      <c r="D133" s="41"/>
      <c r="E133" s="61"/>
      <c r="F133" s="41"/>
      <c r="G133" s="40"/>
      <c r="H133" s="51"/>
    </row>
    <row r="134" spans="1:8" x14ac:dyDescent="0.2">
      <c r="A134" s="40"/>
      <c r="B134" s="61"/>
      <c r="C134" s="41"/>
      <c r="D134" s="41"/>
      <c r="E134" s="61"/>
      <c r="F134" s="41"/>
      <c r="G134" s="40"/>
      <c r="H134" s="51"/>
    </row>
    <row r="135" spans="1:8" x14ac:dyDescent="0.2">
      <c r="A135" s="40"/>
      <c r="B135" s="61"/>
      <c r="C135" s="41"/>
      <c r="D135" s="41"/>
      <c r="E135" s="61"/>
      <c r="F135" s="41"/>
      <c r="G135" s="40"/>
      <c r="H135" s="51"/>
    </row>
    <row r="136" spans="1:8" x14ac:dyDescent="0.2">
      <c r="A136" s="40"/>
      <c r="B136" s="61"/>
      <c r="C136" s="41"/>
      <c r="D136" s="41"/>
      <c r="E136" s="61"/>
      <c r="F136" s="41"/>
      <c r="G136" s="40"/>
      <c r="H136" s="51"/>
    </row>
    <row r="138" spans="1:8" x14ac:dyDescent="0.2">
      <c r="A138" s="34"/>
      <c r="B138" s="49"/>
      <c r="C138" s="34"/>
      <c r="D138" s="34"/>
      <c r="E138" s="49"/>
      <c r="F138" s="64"/>
      <c r="G138" s="66"/>
      <c r="H138" s="69"/>
    </row>
    <row r="139" spans="1:8" x14ac:dyDescent="0.2">
      <c r="A139" s="35"/>
      <c r="B139" s="117"/>
      <c r="C139" s="62"/>
      <c r="D139" s="35"/>
      <c r="E139" s="35"/>
      <c r="F139" s="62"/>
      <c r="G139" s="35"/>
      <c r="H139" s="70"/>
    </row>
    <row r="140" spans="1:8" x14ac:dyDescent="0.2">
      <c r="A140" s="40"/>
      <c r="B140" s="61"/>
      <c r="C140" s="41"/>
      <c r="D140" s="41"/>
      <c r="E140" s="61"/>
      <c r="F140" s="41"/>
      <c r="G140" s="40"/>
      <c r="H140" s="51"/>
    </row>
    <row r="141" spans="1:8" x14ac:dyDescent="0.2">
      <c r="A141" s="40"/>
      <c r="B141" s="61"/>
      <c r="C141" s="41"/>
      <c r="D141" s="41"/>
      <c r="E141" s="61"/>
      <c r="F141" s="41"/>
      <c r="G141" s="40"/>
      <c r="H141" s="51"/>
    </row>
    <row r="143" spans="1:8" x14ac:dyDescent="0.2">
      <c r="A143" s="34"/>
      <c r="B143" s="49"/>
      <c r="C143" s="34"/>
      <c r="D143" s="34"/>
      <c r="E143" s="49"/>
      <c r="F143" s="64"/>
      <c r="G143" s="66"/>
      <c r="H143" s="69"/>
    </row>
    <row r="144" spans="1:8" x14ac:dyDescent="0.2">
      <c r="A144" s="35"/>
      <c r="B144" s="117"/>
      <c r="C144" s="62"/>
      <c r="D144" s="35"/>
      <c r="E144" s="35"/>
      <c r="F144" s="62"/>
      <c r="G144" s="35"/>
      <c r="H144" s="70"/>
    </row>
    <row r="145" spans="1:8" x14ac:dyDescent="0.2">
      <c r="A145" s="40"/>
      <c r="B145" s="61"/>
      <c r="C145" s="41"/>
      <c r="D145" s="41"/>
      <c r="E145" s="61"/>
      <c r="F145" s="41"/>
      <c r="G145" s="40"/>
      <c r="H145" s="51"/>
    </row>
    <row r="146" spans="1:8" x14ac:dyDescent="0.2">
      <c r="A146" s="40"/>
      <c r="B146" s="61"/>
      <c r="C146" s="41"/>
      <c r="D146" s="41"/>
      <c r="E146" s="61"/>
      <c r="F146" s="41"/>
      <c r="G146" s="40"/>
      <c r="H146" s="51"/>
    </row>
    <row r="147" spans="1:8" x14ac:dyDescent="0.2">
      <c r="A147" s="40"/>
      <c r="B147" s="61"/>
      <c r="C147" s="41"/>
      <c r="D147" s="41"/>
      <c r="E147" s="61"/>
      <c r="F147" s="41"/>
      <c r="G147" s="40"/>
      <c r="H147" s="51"/>
    </row>
    <row r="148" spans="1:8" x14ac:dyDescent="0.2">
      <c r="A148" s="40"/>
      <c r="B148" s="61"/>
      <c r="C148" s="41"/>
      <c r="D148" s="41"/>
      <c r="E148" s="61"/>
      <c r="F148" s="41"/>
      <c r="G148" s="40"/>
      <c r="H148" s="51"/>
    </row>
    <row r="149" spans="1:8" x14ac:dyDescent="0.2">
      <c r="A149" s="40"/>
      <c r="B149" s="61"/>
      <c r="C149" s="41"/>
      <c r="D149" s="41"/>
      <c r="E149" s="61"/>
      <c r="F149" s="41"/>
      <c r="G149" s="40"/>
      <c r="H149" s="51"/>
    </row>
    <row r="150" spans="1:8" x14ac:dyDescent="0.2">
      <c r="A150" s="40"/>
      <c r="B150" s="61"/>
      <c r="C150" s="41"/>
      <c r="D150" s="41"/>
      <c r="E150" s="61"/>
      <c r="F150" s="41"/>
      <c r="G150" s="40"/>
      <c r="H150" s="51"/>
    </row>
    <row r="151" spans="1:8" x14ac:dyDescent="0.2">
      <c r="A151" s="40"/>
      <c r="B151" s="61"/>
      <c r="C151" s="41"/>
      <c r="D151" s="41"/>
      <c r="E151" s="61"/>
      <c r="F151" s="41"/>
      <c r="G151" s="40"/>
      <c r="H151" s="51"/>
    </row>
    <row r="152" spans="1:8" x14ac:dyDescent="0.2">
      <c r="A152" s="40"/>
      <c r="B152" s="61"/>
      <c r="C152" s="41"/>
      <c r="D152" s="41"/>
      <c r="E152" s="61"/>
      <c r="F152" s="41"/>
      <c r="G152" s="40"/>
      <c r="H152" s="51"/>
    </row>
    <row r="154" spans="1:8" x14ac:dyDescent="0.2">
      <c r="A154" s="34"/>
      <c r="B154" s="49"/>
      <c r="C154" s="34"/>
      <c r="D154" s="34"/>
      <c r="E154" s="49"/>
      <c r="F154" s="64"/>
      <c r="G154" s="66"/>
      <c r="H154" s="69"/>
    </row>
    <row r="155" spans="1:8" x14ac:dyDescent="0.2">
      <c r="A155" s="35"/>
      <c r="B155" s="117"/>
      <c r="C155" s="62"/>
      <c r="D155" s="35"/>
      <c r="E155" s="35"/>
      <c r="F155" s="62"/>
      <c r="G155" s="35"/>
      <c r="H155" s="70"/>
    </row>
    <row r="156" spans="1:8" x14ac:dyDescent="0.2">
      <c r="A156" s="40"/>
      <c r="B156" s="61"/>
      <c r="C156" s="41"/>
      <c r="D156" s="41"/>
      <c r="E156" s="61"/>
      <c r="F156" s="41"/>
      <c r="G156" s="40"/>
      <c r="H156" s="51"/>
    </row>
    <row r="157" spans="1:8" x14ac:dyDescent="0.2">
      <c r="A157" s="40"/>
      <c r="B157" s="61"/>
      <c r="C157" s="41"/>
      <c r="D157" s="41"/>
      <c r="E157" s="61"/>
      <c r="F157" s="41"/>
      <c r="G157" s="40"/>
      <c r="H157" s="51"/>
    </row>
    <row r="174" spans="1:8" x14ac:dyDescent="0.2">
      <c r="A174" s="34"/>
      <c r="B174" s="49"/>
      <c r="C174" s="34"/>
      <c r="D174" s="34"/>
      <c r="E174" s="49"/>
      <c r="F174" s="64"/>
      <c r="G174" s="66"/>
      <c r="H174" s="69"/>
    </row>
    <row r="175" spans="1:8" x14ac:dyDescent="0.2">
      <c r="A175" s="35"/>
      <c r="B175" s="117"/>
      <c r="C175" s="62"/>
      <c r="D175" s="35"/>
      <c r="E175" s="35"/>
      <c r="F175" s="62"/>
      <c r="G175" s="35"/>
      <c r="H175" s="70"/>
    </row>
    <row r="176" spans="1:8" x14ac:dyDescent="0.2">
      <c r="A176" s="3"/>
      <c r="C176" s="2"/>
      <c r="D176" s="2"/>
    </row>
    <row r="177" spans="1:8" x14ac:dyDescent="0.2">
      <c r="A177" s="3"/>
      <c r="C177" s="2"/>
      <c r="D177" s="2"/>
    </row>
    <row r="178" spans="1:8" x14ac:dyDescent="0.2">
      <c r="A178" s="3"/>
      <c r="C178" s="2"/>
      <c r="D178" s="2"/>
    </row>
    <row r="179" spans="1:8" x14ac:dyDescent="0.2">
      <c r="A179" s="3"/>
      <c r="C179" s="2"/>
      <c r="D179" s="2"/>
    </row>
    <row r="180" spans="1:8" x14ac:dyDescent="0.2">
      <c r="A180" s="3"/>
      <c r="C180" s="2"/>
      <c r="D180" s="2"/>
    </row>
    <row r="181" spans="1:8" x14ac:dyDescent="0.2">
      <c r="A181" s="3"/>
      <c r="C181" s="2"/>
      <c r="D181" s="2"/>
    </row>
    <row r="183" spans="1:8" x14ac:dyDescent="0.2">
      <c r="A183" s="34"/>
      <c r="B183" s="49"/>
      <c r="C183" s="34"/>
      <c r="D183" s="34"/>
      <c r="E183" s="49"/>
      <c r="F183" s="64"/>
      <c r="G183" s="66"/>
      <c r="H183" s="69"/>
    </row>
    <row r="184" spans="1:8" x14ac:dyDescent="0.2">
      <c r="A184" s="35"/>
      <c r="B184" s="117"/>
      <c r="C184" s="62"/>
      <c r="D184" s="35"/>
      <c r="E184" s="35"/>
      <c r="F184" s="62"/>
      <c r="G184" s="35"/>
      <c r="H184" s="70"/>
    </row>
    <row r="185" spans="1:8" x14ac:dyDescent="0.2">
      <c r="A185" s="3"/>
      <c r="C185" s="2"/>
      <c r="D185" s="2"/>
    </row>
    <row r="186" spans="1:8" x14ac:dyDescent="0.2">
      <c r="A186" s="3"/>
      <c r="C186" s="2"/>
      <c r="D186" s="2"/>
    </row>
    <row r="187" spans="1:8" x14ac:dyDescent="0.2">
      <c r="A187" s="3"/>
      <c r="C187" s="2"/>
      <c r="D187" s="2"/>
    </row>
    <row r="188" spans="1:8" x14ac:dyDescent="0.2">
      <c r="A188" s="3"/>
      <c r="C188" s="2"/>
      <c r="D188" s="2"/>
    </row>
    <row r="189" spans="1:8" x14ac:dyDescent="0.2">
      <c r="A189" s="3"/>
      <c r="C189" s="2"/>
      <c r="D189" s="2"/>
    </row>
    <row r="190" spans="1:8" x14ac:dyDescent="0.2">
      <c r="A190" s="3"/>
      <c r="C190" s="2"/>
      <c r="D190" s="2"/>
    </row>
    <row r="192" spans="1:8" x14ac:dyDescent="0.2">
      <c r="A192" s="34"/>
      <c r="B192" s="49"/>
      <c r="C192" s="34"/>
      <c r="D192" s="34"/>
      <c r="E192" s="49"/>
      <c r="F192" s="64"/>
      <c r="G192" s="66"/>
      <c r="H192" s="69"/>
    </row>
    <row r="193" spans="1:8" x14ac:dyDescent="0.2">
      <c r="A193" s="35"/>
      <c r="B193" s="117"/>
      <c r="C193" s="62"/>
      <c r="D193" s="35"/>
      <c r="E193" s="35"/>
      <c r="F193" s="62"/>
      <c r="G193" s="35"/>
      <c r="H193" s="70"/>
    </row>
    <row r="194" spans="1:8" x14ac:dyDescent="0.2">
      <c r="A194" s="3"/>
      <c r="C194" s="2"/>
      <c r="D194" s="2"/>
    </row>
    <row r="195" spans="1:8" x14ac:dyDescent="0.2">
      <c r="A195" s="3"/>
      <c r="C195" s="2"/>
      <c r="D195" s="2"/>
    </row>
    <row r="196" spans="1:8" x14ac:dyDescent="0.2">
      <c r="A196" s="3"/>
      <c r="C196" s="2"/>
      <c r="D196" s="2"/>
    </row>
    <row r="197" spans="1:8" x14ac:dyDescent="0.2">
      <c r="A197" s="3"/>
      <c r="C197" s="2"/>
      <c r="D197" s="2"/>
    </row>
    <row r="198" spans="1:8" x14ac:dyDescent="0.2">
      <c r="A198" s="3"/>
      <c r="C198" s="2"/>
      <c r="D198" s="2"/>
    </row>
    <row r="199" spans="1:8" x14ac:dyDescent="0.2">
      <c r="A199" s="3"/>
      <c r="C199" s="2"/>
      <c r="D199" s="2"/>
    </row>
    <row r="200" spans="1:8" x14ac:dyDescent="0.2">
      <c r="A200" s="3"/>
      <c r="C200" s="2"/>
      <c r="D200" s="2"/>
    </row>
    <row r="201" spans="1:8" x14ac:dyDescent="0.2">
      <c r="A201" s="3"/>
      <c r="C201" s="2"/>
      <c r="D201" s="2"/>
    </row>
    <row r="202" spans="1:8" x14ac:dyDescent="0.2">
      <c r="A202" s="3"/>
      <c r="C202" s="2"/>
      <c r="D202" s="2"/>
    </row>
  </sheetData>
  <mergeCells count="14">
    <mergeCell ref="C43:E43"/>
    <mergeCell ref="C44:E44"/>
    <mergeCell ref="C45:E45"/>
    <mergeCell ref="C73:E73"/>
    <mergeCell ref="C74:E74"/>
    <mergeCell ref="C46:E46"/>
    <mergeCell ref="C47:E47"/>
    <mergeCell ref="C48:E48"/>
    <mergeCell ref="C54:E54"/>
    <mergeCell ref="A1:G3"/>
    <mergeCell ref="C6:E6"/>
    <mergeCell ref="C7:E7"/>
    <mergeCell ref="C8:E8"/>
    <mergeCell ref="C40:E40"/>
  </mergeCells>
  <phoneticPr fontId="30" type="noConversion"/>
  <printOptions horizontalCentered="1"/>
  <pageMargins left="0" right="0" top="0.19685039370078741" bottom="0.59055118110236227" header="0.31496062992125984" footer="0.31496062992125984"/>
  <pageSetup paperSize="9" scale="96" fitToHeight="0" orientation="portrait" horizont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1B0C-452B-4F43-93B8-E6C3AB5957A6}">
  <sheetPr>
    <pageSetUpPr fitToPage="1"/>
  </sheetPr>
  <dimension ref="A1:I177"/>
  <sheetViews>
    <sheetView showGridLines="0" topLeftCell="A39" zoomScaleNormal="100" workbookViewId="0">
      <selection activeCell="L75" sqref="L75"/>
    </sheetView>
  </sheetViews>
  <sheetFormatPr defaultColWidth="9.140625" defaultRowHeight="12.75" x14ac:dyDescent="0.2"/>
  <cols>
    <col min="1" max="1" width="9.28515625" style="1" customWidth="1"/>
    <col min="2" max="2" width="2" style="1" customWidth="1"/>
    <col min="3" max="3" width="10" style="1" customWidth="1"/>
    <col min="4" max="4" width="1.42578125" style="1" customWidth="1"/>
    <col min="5" max="5" width="56.85546875" style="58" customWidth="1"/>
    <col min="6" max="6" width="12.5703125" style="3" customWidth="1"/>
    <col min="7" max="7" width="16" style="5" customWidth="1"/>
    <col min="8" max="16384" width="9.140625" style="1"/>
  </cols>
  <sheetData>
    <row r="1" spans="1:9" ht="12.75" customHeight="1" x14ac:dyDescent="0.2">
      <c r="A1" s="226"/>
      <c r="B1" s="226"/>
      <c r="C1" s="226"/>
      <c r="D1" s="226"/>
      <c r="E1" s="226"/>
      <c r="F1" s="226"/>
      <c r="G1" s="226"/>
    </row>
    <row r="2" spans="1:9" ht="12.75" customHeight="1" x14ac:dyDescent="0.2">
      <c r="A2" s="226"/>
      <c r="B2" s="226"/>
      <c r="C2" s="226"/>
      <c r="D2" s="226"/>
      <c r="E2" s="226"/>
      <c r="F2" s="226"/>
      <c r="G2" s="226"/>
    </row>
    <row r="3" spans="1:9" ht="12.75" customHeight="1" x14ac:dyDescent="0.2">
      <c r="A3" s="226"/>
      <c r="B3" s="226"/>
      <c r="C3" s="226"/>
      <c r="D3" s="226"/>
      <c r="E3" s="226"/>
      <c r="F3" s="226"/>
      <c r="G3" s="226"/>
    </row>
    <row r="4" spans="1:9" x14ac:dyDescent="0.2">
      <c r="B4" s="2"/>
      <c r="C4" s="3"/>
      <c r="D4" s="2"/>
      <c r="E4" s="2"/>
      <c r="F4" s="2"/>
      <c r="G4" s="2"/>
    </row>
    <row r="5" spans="1:9" ht="15" x14ac:dyDescent="0.2">
      <c r="A5" s="145" t="s">
        <v>470</v>
      </c>
      <c r="B5" s="57"/>
      <c r="C5" s="57"/>
      <c r="D5" s="57"/>
      <c r="E5" s="59"/>
      <c r="F5" s="65"/>
      <c r="G5" s="67"/>
    </row>
    <row r="6" spans="1:9" x14ac:dyDescent="0.2">
      <c r="A6" s="12" t="s">
        <v>379</v>
      </c>
      <c r="B6" s="12"/>
      <c r="C6" s="245" t="s">
        <v>116</v>
      </c>
      <c r="D6" s="245"/>
      <c r="E6" s="245"/>
      <c r="F6" s="12" t="s">
        <v>413</v>
      </c>
      <c r="G6" s="68" t="s">
        <v>380</v>
      </c>
      <c r="H6" s="196"/>
    </row>
    <row r="7" spans="1:9" x14ac:dyDescent="0.2">
      <c r="A7" s="110">
        <v>1319</v>
      </c>
      <c r="B7" s="118" t="s">
        <v>23</v>
      </c>
      <c r="C7" s="112" t="s">
        <v>471</v>
      </c>
      <c r="D7" s="112"/>
      <c r="E7" s="112"/>
      <c r="F7" s="110" t="s">
        <v>472</v>
      </c>
      <c r="G7" s="152">
        <v>169.5</v>
      </c>
      <c r="I7" s="5"/>
    </row>
    <row r="8" spans="1:9" x14ac:dyDescent="0.2">
      <c r="A8" s="140">
        <v>1339</v>
      </c>
      <c r="B8" s="140"/>
      <c r="C8" s="138" t="s">
        <v>473</v>
      </c>
      <c r="D8" s="138"/>
      <c r="E8" s="138"/>
      <c r="F8" s="122" t="s">
        <v>474</v>
      </c>
      <c r="G8" s="135">
        <v>111.9</v>
      </c>
      <c r="I8" s="5"/>
    </row>
    <row r="9" spans="1:9" x14ac:dyDescent="0.2">
      <c r="A9" s="116">
        <v>1314</v>
      </c>
      <c r="B9" s="116"/>
      <c r="C9" s="112" t="s">
        <v>475</v>
      </c>
      <c r="D9" s="112"/>
      <c r="E9" s="112"/>
      <c r="F9" s="115" t="s">
        <v>417</v>
      </c>
      <c r="G9" s="152">
        <v>442.8</v>
      </c>
      <c r="I9" s="5"/>
    </row>
    <row r="10" spans="1:9" ht="13.5" x14ac:dyDescent="0.25">
      <c r="A10" s="140">
        <v>1308</v>
      </c>
      <c r="B10" s="139" t="s">
        <v>23</v>
      </c>
      <c r="C10" s="235" t="s">
        <v>537</v>
      </c>
      <c r="D10" s="235"/>
      <c r="E10" s="235"/>
      <c r="F10" s="208" t="s">
        <v>417</v>
      </c>
      <c r="G10" s="135">
        <v>38.6</v>
      </c>
      <c r="I10" s="192"/>
    </row>
    <row r="11" spans="1:9" ht="13.5" x14ac:dyDescent="0.25">
      <c r="A11" s="119">
        <v>1309</v>
      </c>
      <c r="B11" s="118" t="s">
        <v>23</v>
      </c>
      <c r="C11" s="236" t="s">
        <v>538</v>
      </c>
      <c r="D11" s="236"/>
      <c r="E11" s="236"/>
      <c r="F11" s="209" t="s">
        <v>417</v>
      </c>
      <c r="G11" s="152">
        <v>37.9</v>
      </c>
      <c r="I11" s="5"/>
    </row>
    <row r="12" spans="1:9" x14ac:dyDescent="0.2">
      <c r="A12" s="129">
        <v>1343</v>
      </c>
      <c r="B12" s="129"/>
      <c r="C12" s="138" t="s">
        <v>476</v>
      </c>
      <c r="D12" s="138"/>
      <c r="E12" s="138"/>
      <c r="F12" s="122" t="s">
        <v>477</v>
      </c>
      <c r="G12" s="135">
        <v>5.6</v>
      </c>
      <c r="I12" s="5"/>
    </row>
    <row r="13" spans="1:9" x14ac:dyDescent="0.2">
      <c r="A13" s="119">
        <v>1344</v>
      </c>
      <c r="B13" s="119"/>
      <c r="C13" s="112" t="s">
        <v>478</v>
      </c>
      <c r="D13" s="112"/>
      <c r="E13" s="112"/>
      <c r="F13" s="110" t="s">
        <v>479</v>
      </c>
      <c r="G13" s="152">
        <v>17.7</v>
      </c>
      <c r="I13" s="5"/>
    </row>
    <row r="14" spans="1:9" x14ac:dyDescent="0.2">
      <c r="A14" s="140">
        <v>1345</v>
      </c>
      <c r="B14" s="140"/>
      <c r="C14" s="138" t="s">
        <v>480</v>
      </c>
      <c r="D14" s="138"/>
      <c r="E14" s="138"/>
      <c r="F14" s="122" t="s">
        <v>481</v>
      </c>
      <c r="G14" s="135">
        <v>1.05</v>
      </c>
      <c r="I14" s="5"/>
    </row>
    <row r="15" spans="1:9" x14ac:dyDescent="0.2">
      <c r="A15" s="119">
        <v>1346</v>
      </c>
      <c r="B15" s="119"/>
      <c r="C15" s="112" t="s">
        <v>482</v>
      </c>
      <c r="D15" s="112"/>
      <c r="E15" s="112"/>
      <c r="F15" s="115" t="s">
        <v>417</v>
      </c>
      <c r="G15" s="152">
        <v>106.4</v>
      </c>
      <c r="I15" s="5"/>
    </row>
    <row r="16" spans="1:9" x14ac:dyDescent="0.2">
      <c r="A16" s="129">
        <v>1359</v>
      </c>
      <c r="B16" s="129"/>
      <c r="C16" s="138" t="s">
        <v>483</v>
      </c>
      <c r="D16" s="138"/>
      <c r="E16" s="138"/>
      <c r="F16" s="122" t="s">
        <v>484</v>
      </c>
      <c r="G16" s="135">
        <v>21.3</v>
      </c>
      <c r="I16" s="5"/>
    </row>
    <row r="17" spans="1:9" x14ac:dyDescent="0.2">
      <c r="A17" s="116">
        <v>1278</v>
      </c>
      <c r="B17" s="118"/>
      <c r="C17" s="112" t="s">
        <v>539</v>
      </c>
      <c r="D17" s="112"/>
      <c r="E17" s="112"/>
      <c r="F17" s="110" t="s">
        <v>540</v>
      </c>
      <c r="G17" s="152">
        <v>83.9</v>
      </c>
    </row>
    <row r="19" spans="1:9" ht="15" x14ac:dyDescent="0.2">
      <c r="A19" s="145" t="s">
        <v>485</v>
      </c>
      <c r="B19" s="57"/>
      <c r="C19" s="57"/>
      <c r="D19" s="57"/>
      <c r="E19" s="59"/>
      <c r="F19" s="65"/>
      <c r="G19" s="67"/>
      <c r="H19" s="196"/>
    </row>
    <row r="20" spans="1:9" x14ac:dyDescent="0.2">
      <c r="A20" s="12" t="s">
        <v>379</v>
      </c>
      <c r="B20" s="12"/>
      <c r="C20" s="71" t="s">
        <v>116</v>
      </c>
      <c r="D20" s="12"/>
      <c r="E20" s="12"/>
      <c r="F20" s="12" t="s">
        <v>413</v>
      </c>
      <c r="G20" s="68" t="s">
        <v>380</v>
      </c>
      <c r="I20" s="5"/>
    </row>
    <row r="21" spans="1:9" x14ac:dyDescent="0.2">
      <c r="A21" s="116">
        <v>1329</v>
      </c>
      <c r="B21" s="116"/>
      <c r="C21" s="112" t="s">
        <v>486</v>
      </c>
      <c r="D21" s="112"/>
      <c r="E21" s="112"/>
      <c r="F21" s="110" t="s">
        <v>487</v>
      </c>
      <c r="G21" s="152">
        <v>87.2</v>
      </c>
      <c r="I21" s="5"/>
    </row>
    <row r="22" spans="1:9" x14ac:dyDescent="0.2">
      <c r="A22" s="140">
        <v>1330</v>
      </c>
      <c r="B22" s="140"/>
      <c r="C22" s="138" t="s">
        <v>488</v>
      </c>
      <c r="D22" s="138"/>
      <c r="E22" s="138"/>
      <c r="F22" s="122" t="s">
        <v>489</v>
      </c>
      <c r="G22" s="135">
        <v>130.19999999999999</v>
      </c>
      <c r="I22" s="5"/>
    </row>
    <row r="23" spans="1:9" x14ac:dyDescent="0.2">
      <c r="A23" s="116">
        <v>1331</v>
      </c>
      <c r="B23" s="118" t="s">
        <v>23</v>
      </c>
      <c r="C23" s="112" t="s">
        <v>490</v>
      </c>
      <c r="D23" s="112"/>
      <c r="E23" s="112"/>
      <c r="F23" s="110" t="s">
        <v>491</v>
      </c>
      <c r="G23" s="152">
        <v>2030.3</v>
      </c>
    </row>
    <row r="25" spans="1:9" ht="15" x14ac:dyDescent="0.2">
      <c r="A25" s="145" t="s">
        <v>492</v>
      </c>
      <c r="B25" s="57"/>
      <c r="C25" s="57"/>
      <c r="D25" s="57"/>
      <c r="E25" s="59"/>
      <c r="F25" s="65"/>
      <c r="G25" s="67"/>
      <c r="H25" s="196"/>
    </row>
    <row r="26" spans="1:9" x14ac:dyDescent="0.2">
      <c r="A26" s="12" t="s">
        <v>379</v>
      </c>
      <c r="B26" s="12"/>
      <c r="C26" s="71" t="s">
        <v>116</v>
      </c>
      <c r="D26" s="12"/>
      <c r="E26" s="12"/>
      <c r="F26" s="12" t="s">
        <v>413</v>
      </c>
      <c r="G26" s="68" t="s">
        <v>380</v>
      </c>
      <c r="I26" s="5"/>
    </row>
    <row r="27" spans="1:9" ht="12.75" customHeight="1" x14ac:dyDescent="0.2">
      <c r="A27" s="110">
        <v>1208</v>
      </c>
      <c r="B27" s="112"/>
      <c r="C27" s="112" t="s">
        <v>493</v>
      </c>
      <c r="D27" s="112"/>
      <c r="E27" s="112"/>
      <c r="F27" s="110" t="s">
        <v>494</v>
      </c>
      <c r="G27" s="152">
        <v>595.29999999999995</v>
      </c>
      <c r="I27" s="5"/>
    </row>
    <row r="28" spans="1:9" x14ac:dyDescent="0.2">
      <c r="A28" s="140">
        <v>1209</v>
      </c>
      <c r="B28" s="141"/>
      <c r="C28" s="138" t="s">
        <v>495</v>
      </c>
      <c r="D28" s="138"/>
      <c r="E28" s="138"/>
      <c r="F28" s="122" t="s">
        <v>496</v>
      </c>
      <c r="G28" s="135">
        <v>609</v>
      </c>
    </row>
    <row r="29" spans="1:9" x14ac:dyDescent="0.2">
      <c r="B29" s="2"/>
      <c r="C29" s="3"/>
      <c r="D29" s="2"/>
      <c r="E29" s="2"/>
      <c r="F29" s="2"/>
      <c r="G29" s="2"/>
    </row>
    <row r="30" spans="1:9" ht="15" x14ac:dyDescent="0.2">
      <c r="A30" s="145" t="s">
        <v>497</v>
      </c>
      <c r="B30" s="57"/>
      <c r="C30" s="57"/>
      <c r="D30" s="57"/>
      <c r="E30" s="59"/>
      <c r="F30" s="65"/>
      <c r="G30" s="67"/>
      <c r="H30" s="196"/>
    </row>
    <row r="31" spans="1:9" x14ac:dyDescent="0.2">
      <c r="A31" s="12" t="s">
        <v>379</v>
      </c>
      <c r="B31" s="12"/>
      <c r="C31" s="71" t="s">
        <v>116</v>
      </c>
      <c r="D31" s="12"/>
      <c r="E31" s="12"/>
      <c r="F31" s="12" t="s">
        <v>413</v>
      </c>
      <c r="G31" s="68" t="s">
        <v>380</v>
      </c>
      <c r="I31" s="5"/>
    </row>
    <row r="32" spans="1:9" x14ac:dyDescent="0.2">
      <c r="A32" s="110">
        <v>1310</v>
      </c>
      <c r="B32" s="118"/>
      <c r="C32" s="112" t="s">
        <v>498</v>
      </c>
      <c r="D32" s="112"/>
      <c r="E32" s="112"/>
      <c r="F32" s="110" t="s">
        <v>499</v>
      </c>
      <c r="G32" s="152">
        <v>14</v>
      </c>
      <c r="I32" s="5"/>
    </row>
    <row r="33" spans="1:9" x14ac:dyDescent="0.2">
      <c r="A33" s="122">
        <v>1313</v>
      </c>
      <c r="B33" s="122"/>
      <c r="C33" s="138" t="s">
        <v>500</v>
      </c>
      <c r="D33" s="138"/>
      <c r="E33" s="138"/>
      <c r="F33" s="122" t="s">
        <v>501</v>
      </c>
      <c r="G33" s="135">
        <v>16.7</v>
      </c>
    </row>
    <row r="34" spans="1:9" x14ac:dyDescent="0.2">
      <c r="A34" s="110">
        <v>1311</v>
      </c>
      <c r="B34" s="118" t="s">
        <v>23</v>
      </c>
      <c r="C34" s="112" t="s">
        <v>502</v>
      </c>
      <c r="D34" s="112"/>
      <c r="E34" s="112"/>
      <c r="F34" s="110" t="s">
        <v>503</v>
      </c>
      <c r="G34" s="152">
        <v>24</v>
      </c>
    </row>
    <row r="35" spans="1:9" x14ac:dyDescent="0.2">
      <c r="A35" s="122">
        <v>1312</v>
      </c>
      <c r="B35" s="139" t="s">
        <v>23</v>
      </c>
      <c r="C35" s="138" t="s">
        <v>504</v>
      </c>
      <c r="D35" s="138"/>
      <c r="E35" s="138"/>
      <c r="F35" s="122" t="s">
        <v>505</v>
      </c>
      <c r="G35" s="135">
        <v>59.5</v>
      </c>
    </row>
    <row r="36" spans="1:9" x14ac:dyDescent="0.2">
      <c r="A36" s="171"/>
      <c r="B36" s="176"/>
      <c r="C36" s="170"/>
      <c r="D36" s="170"/>
      <c r="E36" s="170"/>
      <c r="F36" s="171"/>
      <c r="G36" s="172"/>
    </row>
    <row r="37" spans="1:9" ht="15" x14ac:dyDescent="0.2">
      <c r="A37" s="145" t="s">
        <v>506</v>
      </c>
      <c r="B37" s="57"/>
      <c r="C37" s="57"/>
      <c r="D37" s="57"/>
      <c r="E37" s="59"/>
      <c r="F37" s="65"/>
      <c r="G37" s="67"/>
      <c r="H37" s="196"/>
    </row>
    <row r="38" spans="1:9" x14ac:dyDescent="0.2">
      <c r="A38" s="12" t="s">
        <v>379</v>
      </c>
      <c r="B38" s="12"/>
      <c r="C38" s="12" t="s">
        <v>116</v>
      </c>
      <c r="D38" s="12"/>
      <c r="E38" s="12"/>
      <c r="F38" s="12" t="s">
        <v>413</v>
      </c>
      <c r="G38" s="68" t="s">
        <v>380</v>
      </c>
      <c r="I38" s="5"/>
    </row>
    <row r="39" spans="1:9" x14ac:dyDescent="0.2">
      <c r="A39" s="110">
        <v>1316</v>
      </c>
      <c r="B39" s="110"/>
      <c r="C39" s="112" t="s">
        <v>507</v>
      </c>
      <c r="D39" s="112"/>
      <c r="E39" s="112"/>
      <c r="F39" s="110" t="s">
        <v>508</v>
      </c>
      <c r="G39" s="152">
        <v>130.9</v>
      </c>
      <c r="I39" s="5"/>
    </row>
    <row r="40" spans="1:9" x14ac:dyDescent="0.2">
      <c r="A40" s="122">
        <v>1317</v>
      </c>
      <c r="B40" s="139" t="s">
        <v>23</v>
      </c>
      <c r="C40" s="138" t="s">
        <v>509</v>
      </c>
      <c r="D40" s="138"/>
      <c r="E40" s="138"/>
      <c r="F40" s="122" t="s">
        <v>510</v>
      </c>
      <c r="G40" s="135">
        <v>265.2</v>
      </c>
      <c r="I40" s="5"/>
    </row>
    <row r="41" spans="1:9" x14ac:dyDescent="0.2">
      <c r="A41" s="110">
        <v>1318</v>
      </c>
      <c r="B41" s="118" t="s">
        <v>23</v>
      </c>
      <c r="C41" s="112" t="s">
        <v>511</v>
      </c>
      <c r="D41" s="112"/>
      <c r="E41" s="112"/>
      <c r="F41" s="110" t="s">
        <v>512</v>
      </c>
      <c r="G41" s="152">
        <v>387.3</v>
      </c>
    </row>
    <row r="42" spans="1:9" x14ac:dyDescent="0.2">
      <c r="A42" s="171"/>
      <c r="B42" s="169"/>
      <c r="C42" s="170"/>
      <c r="D42" s="170"/>
      <c r="E42" s="170"/>
      <c r="F42" s="171"/>
      <c r="G42" s="172"/>
    </row>
    <row r="43" spans="1:9" ht="15" x14ac:dyDescent="0.2">
      <c r="A43" s="145" t="s">
        <v>513</v>
      </c>
      <c r="B43" s="57"/>
      <c r="C43" s="57"/>
      <c r="D43" s="57"/>
      <c r="E43" s="59"/>
      <c r="F43" s="65"/>
      <c r="G43" s="67"/>
      <c r="H43" s="196"/>
    </row>
    <row r="44" spans="1:9" x14ac:dyDescent="0.2">
      <c r="A44" s="12" t="s">
        <v>379</v>
      </c>
      <c r="B44" s="12"/>
      <c r="C44" s="71" t="s">
        <v>116</v>
      </c>
      <c r="D44" s="12"/>
      <c r="E44" s="12"/>
      <c r="F44" s="12" t="s">
        <v>413</v>
      </c>
      <c r="G44" s="68" t="s">
        <v>380</v>
      </c>
      <c r="I44" s="5"/>
    </row>
    <row r="45" spans="1:9" x14ac:dyDescent="0.2">
      <c r="A45" s="110">
        <v>1320</v>
      </c>
      <c r="B45" s="118" t="s">
        <v>23</v>
      </c>
      <c r="C45" s="112" t="s">
        <v>514</v>
      </c>
      <c r="D45" s="112"/>
      <c r="E45" s="112"/>
      <c r="F45" s="110" t="s">
        <v>515</v>
      </c>
      <c r="G45" s="152">
        <v>62.6</v>
      </c>
      <c r="I45" s="5"/>
    </row>
    <row r="46" spans="1:9" s="50" customFormat="1" x14ac:dyDescent="0.2">
      <c r="A46" s="122">
        <v>1321</v>
      </c>
      <c r="B46" s="139" t="s">
        <v>23</v>
      </c>
      <c r="C46" s="138" t="s">
        <v>516</v>
      </c>
      <c r="D46" s="138"/>
      <c r="E46" s="138"/>
      <c r="F46" s="122" t="s">
        <v>517</v>
      </c>
      <c r="G46" s="135">
        <v>64.900000000000006</v>
      </c>
      <c r="I46" s="5"/>
    </row>
    <row r="47" spans="1:9" s="50" customFormat="1" x14ac:dyDescent="0.2">
      <c r="A47" s="119">
        <v>1322</v>
      </c>
      <c r="B47" s="118" t="s">
        <v>23</v>
      </c>
      <c r="C47" s="112" t="s">
        <v>518</v>
      </c>
      <c r="D47" s="112"/>
      <c r="E47" s="112"/>
      <c r="F47" s="110" t="s">
        <v>519</v>
      </c>
      <c r="G47" s="152">
        <v>74.900000000000006</v>
      </c>
      <c r="I47" s="5"/>
    </row>
    <row r="48" spans="1:9" s="50" customFormat="1" x14ac:dyDescent="0.2">
      <c r="A48" s="129">
        <v>1323</v>
      </c>
      <c r="B48" s="139" t="s">
        <v>23</v>
      </c>
      <c r="C48" s="138" t="s">
        <v>520</v>
      </c>
      <c r="D48" s="138"/>
      <c r="E48" s="138"/>
      <c r="F48" s="122" t="s">
        <v>521</v>
      </c>
      <c r="G48" s="135">
        <v>96.9</v>
      </c>
      <c r="I48" s="5"/>
    </row>
    <row r="49" spans="1:9" s="50" customFormat="1" x14ac:dyDescent="0.2">
      <c r="A49" s="119">
        <v>1324</v>
      </c>
      <c r="B49" s="118" t="s">
        <v>23</v>
      </c>
      <c r="C49" s="112" t="s">
        <v>522</v>
      </c>
      <c r="D49" s="112"/>
      <c r="E49" s="112"/>
      <c r="F49" s="110" t="s">
        <v>523</v>
      </c>
      <c r="G49" s="152">
        <v>228.8</v>
      </c>
      <c r="I49" s="5"/>
    </row>
    <row r="50" spans="1:9" s="50" customFormat="1" x14ac:dyDescent="0.2">
      <c r="A50" s="140">
        <v>1325</v>
      </c>
      <c r="B50" s="139" t="s">
        <v>23</v>
      </c>
      <c r="C50" s="138" t="s">
        <v>524</v>
      </c>
      <c r="D50" s="138"/>
      <c r="E50" s="138"/>
      <c r="F50" s="122" t="s">
        <v>525</v>
      </c>
      <c r="G50" s="135">
        <v>277.3</v>
      </c>
      <c r="I50" s="5"/>
    </row>
    <row r="51" spans="1:9" s="50" customFormat="1" x14ac:dyDescent="0.2">
      <c r="A51" s="174"/>
      <c r="B51" s="175"/>
      <c r="C51" s="58"/>
      <c r="D51" s="58"/>
      <c r="E51" s="58"/>
      <c r="F51" s="3"/>
      <c r="G51" s="5"/>
    </row>
    <row r="52" spans="1:9" s="50" customFormat="1" ht="15" x14ac:dyDescent="0.2">
      <c r="A52" s="145" t="s">
        <v>526</v>
      </c>
      <c r="B52" s="57"/>
      <c r="C52" s="57"/>
      <c r="D52" s="57"/>
      <c r="E52" s="59"/>
      <c r="F52" s="65"/>
      <c r="G52" s="67"/>
    </row>
    <row r="53" spans="1:9" s="50" customFormat="1" x14ac:dyDescent="0.2">
      <c r="A53" s="12" t="s">
        <v>379</v>
      </c>
      <c r="B53" s="12"/>
      <c r="C53" s="71" t="s">
        <v>116</v>
      </c>
      <c r="D53" s="12"/>
      <c r="E53" s="12"/>
      <c r="F53" s="11" t="s">
        <v>527</v>
      </c>
      <c r="G53" s="68" t="s">
        <v>5</v>
      </c>
    </row>
    <row r="54" spans="1:9" s="210" customFormat="1" x14ac:dyDescent="0.2">
      <c r="A54" s="110">
        <v>16097</v>
      </c>
      <c r="B54" s="118"/>
      <c r="C54" s="112" t="s">
        <v>543</v>
      </c>
      <c r="D54" s="112"/>
      <c r="E54" s="112"/>
      <c r="F54" s="111">
        <v>50</v>
      </c>
      <c r="G54" s="152">
        <v>34.1</v>
      </c>
    </row>
    <row r="55" spans="1:9" s="210" customFormat="1" x14ac:dyDescent="0.2">
      <c r="A55" s="122">
        <v>16098</v>
      </c>
      <c r="B55" s="139"/>
      <c r="C55" s="138" t="s">
        <v>542</v>
      </c>
      <c r="D55" s="138"/>
      <c r="E55" s="138"/>
      <c r="F55" s="123">
        <v>50</v>
      </c>
      <c r="G55" s="135">
        <v>31.1</v>
      </c>
    </row>
    <row r="56" spans="1:9" s="50" customFormat="1" x14ac:dyDescent="0.2">
      <c r="A56" s="110">
        <v>16095</v>
      </c>
      <c r="B56" s="118"/>
      <c r="C56" s="112" t="s">
        <v>528</v>
      </c>
      <c r="D56" s="112"/>
      <c r="E56" s="112"/>
      <c r="F56" s="111">
        <v>5</v>
      </c>
      <c r="G56" s="152">
        <v>31.1</v>
      </c>
    </row>
    <row r="57" spans="1:9" s="50" customFormat="1" x14ac:dyDescent="0.2">
      <c r="A57" s="122">
        <v>16090</v>
      </c>
      <c r="B57" s="139"/>
      <c r="C57" s="138" t="s">
        <v>529</v>
      </c>
      <c r="D57" s="138"/>
      <c r="E57" s="138"/>
      <c r="F57" s="123">
        <v>5</v>
      </c>
      <c r="G57" s="135">
        <v>25.5</v>
      </c>
    </row>
    <row r="58" spans="1:9" s="50" customFormat="1" x14ac:dyDescent="0.2">
      <c r="A58" s="110">
        <v>16091</v>
      </c>
      <c r="B58" s="118"/>
      <c r="C58" s="112" t="s">
        <v>530</v>
      </c>
      <c r="D58" s="112"/>
      <c r="E58" s="112"/>
      <c r="F58" s="111">
        <v>50</v>
      </c>
      <c r="G58" s="152">
        <v>24.5</v>
      </c>
    </row>
    <row r="59" spans="1:9" s="50" customFormat="1" x14ac:dyDescent="0.2">
      <c r="A59" s="122">
        <v>16094</v>
      </c>
      <c r="B59" s="122"/>
      <c r="C59" s="138" t="s">
        <v>531</v>
      </c>
      <c r="D59" s="138"/>
      <c r="E59" s="138"/>
      <c r="F59" s="123">
        <v>10</v>
      </c>
      <c r="G59" s="135">
        <v>1.4</v>
      </c>
    </row>
    <row r="60" spans="1:9" s="50" customFormat="1" x14ac:dyDescent="0.2">
      <c r="A60" s="110">
        <v>16096</v>
      </c>
      <c r="B60" s="110"/>
      <c r="C60" s="112" t="s">
        <v>532</v>
      </c>
      <c r="D60" s="112"/>
      <c r="E60" s="112"/>
      <c r="F60" s="111">
        <v>10</v>
      </c>
      <c r="G60" s="152">
        <v>1.5</v>
      </c>
    </row>
    <row r="61" spans="1:9" s="50" customFormat="1" x14ac:dyDescent="0.2">
      <c r="A61" s="34"/>
      <c r="B61" s="34"/>
      <c r="C61" s="34"/>
      <c r="D61" s="34"/>
      <c r="E61" s="49"/>
      <c r="F61" s="66"/>
      <c r="G61" s="69"/>
    </row>
    <row r="62" spans="1:9" s="50" customFormat="1" ht="15" x14ac:dyDescent="0.2">
      <c r="A62" s="145" t="s">
        <v>533</v>
      </c>
      <c r="B62" s="57"/>
      <c r="C62" s="57"/>
      <c r="D62" s="57"/>
      <c r="E62" s="59"/>
      <c r="F62" s="65"/>
      <c r="G62" s="67"/>
    </row>
    <row r="63" spans="1:9" s="50" customFormat="1" x14ac:dyDescent="0.2">
      <c r="A63" s="12" t="s">
        <v>379</v>
      </c>
      <c r="B63" s="12"/>
      <c r="C63" s="71" t="s">
        <v>116</v>
      </c>
      <c r="D63" s="12"/>
      <c r="E63" s="12"/>
      <c r="F63" s="11" t="s">
        <v>527</v>
      </c>
      <c r="G63" s="68" t="s">
        <v>5</v>
      </c>
    </row>
    <row r="64" spans="1:9" s="50" customFormat="1" x14ac:dyDescent="0.2">
      <c r="A64" s="110">
        <v>16092</v>
      </c>
      <c r="B64" s="118"/>
      <c r="C64" s="112" t="s">
        <v>534</v>
      </c>
      <c r="D64" s="112"/>
      <c r="E64" s="112"/>
      <c r="F64" s="111">
        <v>1</v>
      </c>
      <c r="G64" s="152">
        <v>47</v>
      </c>
    </row>
    <row r="65" spans="1:7" s="50" customFormat="1" x14ac:dyDescent="0.2">
      <c r="A65" s="122">
        <v>16093</v>
      </c>
      <c r="B65" s="139"/>
      <c r="C65" s="138" t="s">
        <v>535</v>
      </c>
      <c r="D65" s="138"/>
      <c r="E65" s="138"/>
      <c r="F65" s="123">
        <v>1</v>
      </c>
      <c r="G65" s="135">
        <v>47</v>
      </c>
    </row>
    <row r="66" spans="1:7" s="50" customFormat="1" x14ac:dyDescent="0.2">
      <c r="A66" s="35"/>
      <c r="B66" s="35"/>
      <c r="C66" s="62"/>
      <c r="D66" s="35"/>
      <c r="E66" s="35"/>
      <c r="F66" s="35"/>
      <c r="G66" s="70"/>
    </row>
    <row r="67" spans="1:7" s="50" customFormat="1" x14ac:dyDescent="0.2">
      <c r="A67" s="3"/>
      <c r="B67" s="3"/>
      <c r="C67" s="2"/>
      <c r="D67" s="2"/>
      <c r="E67" s="58"/>
      <c r="F67" s="3"/>
      <c r="G67" s="5"/>
    </row>
    <row r="68" spans="1:7" s="50" customFormat="1" x14ac:dyDescent="0.2">
      <c r="A68" s="3"/>
      <c r="B68" s="3"/>
      <c r="C68" s="2"/>
      <c r="D68" s="2"/>
      <c r="E68" s="58"/>
      <c r="F68" s="3"/>
      <c r="G68" s="5"/>
    </row>
    <row r="69" spans="1:7" s="50" customFormat="1" x14ac:dyDescent="0.2">
      <c r="A69" s="3"/>
      <c r="B69" s="3"/>
      <c r="C69" s="2"/>
      <c r="D69" s="2"/>
      <c r="E69" s="58"/>
      <c r="F69" s="3"/>
      <c r="G69" s="5"/>
    </row>
    <row r="70" spans="1:7" s="50" customFormat="1" x14ac:dyDescent="0.2">
      <c r="A70" s="3"/>
      <c r="B70" s="3"/>
      <c r="C70" s="2"/>
      <c r="D70" s="2"/>
      <c r="E70" s="58"/>
      <c r="F70" s="3"/>
      <c r="G70" s="5"/>
    </row>
    <row r="71" spans="1:7" s="50" customFormat="1" x14ac:dyDescent="0.2">
      <c r="A71" s="3"/>
      <c r="B71" s="3"/>
      <c r="C71" s="1"/>
      <c r="D71" s="1"/>
      <c r="E71" s="58"/>
      <c r="F71" s="3"/>
      <c r="G71" s="5"/>
    </row>
    <row r="72" spans="1:7" s="50" customFormat="1" x14ac:dyDescent="0.2">
      <c r="A72" s="34"/>
      <c r="B72" s="34"/>
      <c r="C72" s="34"/>
      <c r="D72" s="34"/>
      <c r="E72" s="49"/>
      <c r="F72" s="66"/>
      <c r="G72" s="69"/>
    </row>
    <row r="73" spans="1:7" s="50" customFormat="1" x14ac:dyDescent="0.2">
      <c r="A73" s="35"/>
      <c r="B73" s="35"/>
      <c r="C73" s="62"/>
      <c r="D73" s="35"/>
      <c r="E73" s="35"/>
      <c r="F73" s="35"/>
      <c r="G73" s="70"/>
    </row>
    <row r="74" spans="1:7" s="50" customFormat="1" x14ac:dyDescent="0.2">
      <c r="A74" s="3"/>
      <c r="B74" s="3"/>
      <c r="C74" s="2"/>
      <c r="D74" s="2"/>
      <c r="E74" s="58"/>
      <c r="F74" s="3"/>
      <c r="G74" s="5"/>
    </row>
    <row r="75" spans="1:7" s="50" customFormat="1" x14ac:dyDescent="0.2">
      <c r="A75" s="3"/>
      <c r="B75" s="3"/>
      <c r="C75" s="2"/>
      <c r="D75" s="2"/>
      <c r="E75" s="58"/>
      <c r="F75" s="3"/>
      <c r="G75" s="5"/>
    </row>
    <row r="76" spans="1:7" s="50" customFormat="1" x14ac:dyDescent="0.2">
      <c r="A76" s="3"/>
      <c r="B76" s="3"/>
      <c r="C76" s="2"/>
      <c r="D76" s="2"/>
      <c r="E76" s="58"/>
      <c r="F76" s="3"/>
      <c r="G76" s="5"/>
    </row>
    <row r="77" spans="1:7" s="50" customFormat="1" x14ac:dyDescent="0.2">
      <c r="A77" s="3"/>
      <c r="B77" s="3"/>
      <c r="C77" s="2"/>
      <c r="D77" s="2"/>
      <c r="E77" s="58"/>
      <c r="F77" s="3"/>
      <c r="G77" s="5"/>
    </row>
    <row r="78" spans="1:7" s="50" customFormat="1" x14ac:dyDescent="0.2">
      <c r="A78" s="3"/>
      <c r="B78" s="3"/>
      <c r="C78" s="2"/>
      <c r="D78" s="2"/>
      <c r="E78" s="58"/>
      <c r="F78" s="3"/>
      <c r="G78" s="5"/>
    </row>
    <row r="79" spans="1:7" s="50" customFormat="1" x14ac:dyDescent="0.2">
      <c r="A79" s="3"/>
      <c r="B79" s="3"/>
      <c r="C79" s="2"/>
      <c r="D79" s="2"/>
      <c r="E79" s="58"/>
      <c r="F79" s="3"/>
      <c r="G79" s="5"/>
    </row>
    <row r="80" spans="1:7" s="50" customFormat="1" x14ac:dyDescent="0.2">
      <c r="A80" s="3"/>
      <c r="B80" s="3"/>
      <c r="C80" s="2"/>
      <c r="D80" s="2"/>
      <c r="E80" s="58"/>
      <c r="F80" s="3"/>
      <c r="G80" s="5"/>
    </row>
    <row r="81" spans="1:7" s="50" customFormat="1" x14ac:dyDescent="0.2">
      <c r="A81" s="3"/>
      <c r="B81" s="3"/>
      <c r="C81" s="2"/>
      <c r="D81" s="2"/>
      <c r="E81" s="58"/>
      <c r="F81" s="3"/>
      <c r="G81" s="5"/>
    </row>
    <row r="82" spans="1:7" s="50" customFormat="1" x14ac:dyDescent="0.2">
      <c r="A82" s="3"/>
      <c r="B82" s="3"/>
      <c r="C82" s="2"/>
      <c r="D82" s="2"/>
      <c r="E82" s="58"/>
      <c r="F82" s="3"/>
      <c r="G82" s="5"/>
    </row>
    <row r="83" spans="1:7" s="50" customFormat="1" x14ac:dyDescent="0.2">
      <c r="A83" s="3"/>
      <c r="B83" s="3"/>
      <c r="C83" s="2"/>
      <c r="D83" s="2"/>
      <c r="E83" s="58"/>
      <c r="F83" s="3"/>
      <c r="G83" s="5"/>
    </row>
    <row r="84" spans="1:7" s="50" customFormat="1" x14ac:dyDescent="0.2">
      <c r="A84" s="3"/>
      <c r="B84" s="3"/>
      <c r="C84" s="2"/>
      <c r="D84" s="2"/>
      <c r="E84" s="58"/>
      <c r="F84" s="3"/>
      <c r="G84" s="5"/>
    </row>
    <row r="85" spans="1:7" s="50" customFormat="1" x14ac:dyDescent="0.2">
      <c r="A85" s="3"/>
      <c r="B85" s="3"/>
      <c r="C85" s="2"/>
      <c r="D85" s="2"/>
      <c r="E85" s="58"/>
      <c r="F85" s="3"/>
      <c r="G85" s="5"/>
    </row>
    <row r="86" spans="1:7" s="50" customFormat="1" x14ac:dyDescent="0.2">
      <c r="A86" s="3"/>
      <c r="B86" s="3"/>
      <c r="C86" s="2"/>
      <c r="D86" s="2"/>
      <c r="E86" s="58"/>
      <c r="F86" s="3"/>
      <c r="G86" s="5"/>
    </row>
    <row r="87" spans="1:7" s="50" customFormat="1" x14ac:dyDescent="0.2">
      <c r="A87" s="1"/>
      <c r="B87" s="1"/>
      <c r="C87" s="1"/>
      <c r="D87" s="1"/>
      <c r="E87" s="58"/>
      <c r="F87" s="3"/>
      <c r="G87" s="5"/>
    </row>
    <row r="88" spans="1:7" s="50" customFormat="1" x14ac:dyDescent="0.2">
      <c r="A88" s="34"/>
      <c r="B88" s="34"/>
      <c r="C88" s="34"/>
      <c r="D88" s="34"/>
      <c r="E88" s="49"/>
      <c r="F88" s="66"/>
      <c r="G88" s="69"/>
    </row>
    <row r="89" spans="1:7" s="50" customFormat="1" x14ac:dyDescent="0.2">
      <c r="A89" s="35"/>
      <c r="B89" s="35"/>
      <c r="C89" s="62"/>
      <c r="D89" s="35"/>
      <c r="E89" s="35"/>
      <c r="F89" s="35"/>
      <c r="G89" s="70"/>
    </row>
    <row r="90" spans="1:7" s="50" customFormat="1" x14ac:dyDescent="0.2">
      <c r="A90" s="3"/>
      <c r="B90" s="3"/>
      <c r="C90" s="2"/>
      <c r="D90" s="2"/>
      <c r="E90" s="58"/>
      <c r="F90" s="3"/>
      <c r="G90" s="5"/>
    </row>
    <row r="91" spans="1:7" s="50" customFormat="1" x14ac:dyDescent="0.2">
      <c r="A91" s="3"/>
      <c r="B91" s="3"/>
      <c r="C91" s="2"/>
      <c r="D91" s="2"/>
      <c r="E91" s="58"/>
      <c r="F91" s="3"/>
      <c r="G91" s="5"/>
    </row>
    <row r="92" spans="1:7" s="50" customFormat="1" x14ac:dyDescent="0.2">
      <c r="A92" s="3"/>
      <c r="B92" s="3"/>
      <c r="C92" s="2"/>
      <c r="D92" s="2"/>
      <c r="E92" s="58"/>
      <c r="F92" s="3"/>
      <c r="G92" s="5"/>
    </row>
    <row r="93" spans="1:7" s="50" customFormat="1" x14ac:dyDescent="0.2">
      <c r="A93" s="3"/>
      <c r="B93" s="3"/>
      <c r="C93" s="1"/>
      <c r="D93" s="1"/>
      <c r="E93" s="58"/>
      <c r="F93" s="3"/>
      <c r="G93" s="5"/>
    </row>
    <row r="94" spans="1:7" s="50" customFormat="1" x14ac:dyDescent="0.2">
      <c r="A94" s="3"/>
      <c r="B94" s="3"/>
      <c r="C94" s="1"/>
      <c r="D94" s="1"/>
      <c r="E94" s="58"/>
      <c r="F94" s="3"/>
      <c r="G94" s="5"/>
    </row>
    <row r="95" spans="1:7" s="50" customFormat="1" x14ac:dyDescent="0.2">
      <c r="A95" s="3"/>
      <c r="B95" s="3"/>
      <c r="C95" s="1"/>
      <c r="D95" s="1"/>
      <c r="E95" s="58"/>
      <c r="F95" s="3"/>
      <c r="G95" s="5"/>
    </row>
    <row r="96" spans="1:7" s="50" customFormat="1" x14ac:dyDescent="0.2">
      <c r="A96" s="3"/>
      <c r="B96" s="3"/>
      <c r="C96" s="1"/>
      <c r="D96" s="1"/>
      <c r="E96" s="58"/>
      <c r="F96" s="3"/>
      <c r="G96" s="5"/>
    </row>
    <row r="97" spans="1:7" s="50" customFormat="1" x14ac:dyDescent="0.2">
      <c r="A97" s="1"/>
      <c r="B97" s="1"/>
      <c r="C97" s="1"/>
      <c r="D97" s="1"/>
      <c r="E97" s="58"/>
      <c r="F97" s="3"/>
      <c r="G97" s="5"/>
    </row>
    <row r="98" spans="1:7" s="50" customFormat="1" x14ac:dyDescent="0.2">
      <c r="A98" s="1"/>
      <c r="B98" s="1"/>
      <c r="C98" s="1"/>
      <c r="D98" s="1"/>
      <c r="E98" s="58"/>
      <c r="F98" s="3"/>
      <c r="G98" s="5"/>
    </row>
    <row r="99" spans="1:7" s="50" customFormat="1" x14ac:dyDescent="0.2">
      <c r="A99" s="1"/>
      <c r="B99" s="1"/>
      <c r="C99" s="1"/>
      <c r="D99" s="1"/>
      <c r="E99" s="58"/>
      <c r="F99" s="3"/>
      <c r="G99" s="5"/>
    </row>
    <row r="102" spans="1:7" x14ac:dyDescent="0.2">
      <c r="A102" s="34"/>
      <c r="B102" s="34"/>
      <c r="C102" s="34"/>
      <c r="D102" s="34"/>
      <c r="E102" s="49"/>
      <c r="F102" s="66"/>
      <c r="G102" s="69"/>
    </row>
    <row r="103" spans="1:7" x14ac:dyDescent="0.2">
      <c r="A103" s="35"/>
      <c r="B103" s="35"/>
      <c r="C103" s="62"/>
      <c r="D103" s="35"/>
      <c r="E103" s="35"/>
      <c r="F103" s="35"/>
      <c r="G103" s="70"/>
    </row>
    <row r="104" spans="1:7" x14ac:dyDescent="0.2">
      <c r="A104" s="40"/>
      <c r="B104" s="40"/>
      <c r="C104" s="41"/>
      <c r="D104" s="41"/>
      <c r="E104" s="61"/>
      <c r="F104" s="40"/>
      <c r="G104" s="51"/>
    </row>
    <row r="105" spans="1:7" x14ac:dyDescent="0.2">
      <c r="A105" s="40"/>
      <c r="B105" s="40"/>
      <c r="C105" s="41"/>
      <c r="D105" s="41"/>
      <c r="E105" s="61"/>
      <c r="F105" s="40"/>
      <c r="G105" s="51"/>
    </row>
    <row r="106" spans="1:7" x14ac:dyDescent="0.2">
      <c r="A106" s="40"/>
      <c r="B106" s="40"/>
      <c r="C106" s="41"/>
      <c r="D106" s="41"/>
      <c r="E106" s="61"/>
      <c r="F106" s="40"/>
      <c r="G106" s="51"/>
    </row>
    <row r="107" spans="1:7" x14ac:dyDescent="0.2">
      <c r="A107" s="40"/>
      <c r="B107" s="40"/>
      <c r="C107" s="41"/>
      <c r="D107" s="41"/>
      <c r="E107" s="61"/>
      <c r="F107" s="40"/>
      <c r="G107" s="51"/>
    </row>
    <row r="108" spans="1:7" x14ac:dyDescent="0.2">
      <c r="A108" s="40"/>
      <c r="B108" s="40"/>
      <c r="C108" s="41"/>
      <c r="D108" s="41"/>
      <c r="E108" s="61"/>
      <c r="F108" s="40"/>
      <c r="G108" s="51"/>
    </row>
    <row r="109" spans="1:7" x14ac:dyDescent="0.2">
      <c r="A109" s="40"/>
      <c r="B109" s="40"/>
      <c r="C109" s="41"/>
      <c r="D109" s="41"/>
      <c r="E109" s="61"/>
      <c r="F109" s="40"/>
      <c r="G109" s="51"/>
    </row>
    <row r="110" spans="1:7" x14ac:dyDescent="0.2">
      <c r="A110" s="40"/>
      <c r="B110" s="40"/>
      <c r="C110" s="41"/>
      <c r="D110" s="41"/>
      <c r="E110" s="61"/>
      <c r="F110" s="40"/>
      <c r="G110" s="51"/>
    </row>
    <row r="111" spans="1:7" x14ac:dyDescent="0.2">
      <c r="A111" s="40"/>
      <c r="B111" s="40"/>
      <c r="C111" s="41"/>
      <c r="D111" s="41"/>
      <c r="E111" s="61"/>
      <c r="F111" s="40"/>
      <c r="G111" s="51"/>
    </row>
    <row r="113" spans="1:7" x14ac:dyDescent="0.2">
      <c r="A113" s="34"/>
      <c r="B113" s="34"/>
      <c r="C113" s="34"/>
      <c r="D113" s="34"/>
      <c r="E113" s="49"/>
      <c r="F113" s="66"/>
      <c r="G113" s="69"/>
    </row>
    <row r="114" spans="1:7" x14ac:dyDescent="0.2">
      <c r="A114" s="35"/>
      <c r="B114" s="35"/>
      <c r="C114" s="62"/>
      <c r="D114" s="35"/>
      <c r="E114" s="35"/>
      <c r="F114" s="35"/>
      <c r="G114" s="70"/>
    </row>
    <row r="115" spans="1:7" x14ac:dyDescent="0.2">
      <c r="A115" s="40"/>
      <c r="B115" s="40"/>
      <c r="C115" s="41"/>
      <c r="D115" s="41"/>
      <c r="E115" s="61"/>
      <c r="F115" s="40"/>
      <c r="G115" s="51"/>
    </row>
    <row r="116" spans="1:7" x14ac:dyDescent="0.2">
      <c r="A116" s="40"/>
      <c r="B116" s="40"/>
      <c r="C116" s="41"/>
      <c r="D116" s="41"/>
      <c r="E116" s="61"/>
      <c r="F116" s="40"/>
      <c r="G116" s="51"/>
    </row>
    <row r="118" spans="1:7" x14ac:dyDescent="0.2">
      <c r="A118" s="34"/>
      <c r="B118" s="34"/>
      <c r="C118" s="34"/>
      <c r="D118" s="34"/>
      <c r="E118" s="49"/>
      <c r="F118" s="66"/>
      <c r="G118" s="69"/>
    </row>
    <row r="119" spans="1:7" x14ac:dyDescent="0.2">
      <c r="A119" s="35"/>
      <c r="B119" s="35"/>
      <c r="C119" s="62"/>
      <c r="D119" s="35"/>
      <c r="E119" s="35"/>
      <c r="F119" s="35"/>
      <c r="G119" s="70"/>
    </row>
    <row r="120" spans="1:7" x14ac:dyDescent="0.2">
      <c r="A120" s="40"/>
      <c r="B120" s="40"/>
      <c r="C120" s="41"/>
      <c r="D120" s="41"/>
      <c r="E120" s="61"/>
      <c r="F120" s="40"/>
      <c r="G120" s="51"/>
    </row>
    <row r="121" spans="1:7" x14ac:dyDescent="0.2">
      <c r="A121" s="40"/>
      <c r="B121" s="40"/>
      <c r="C121" s="41"/>
      <c r="D121" s="41"/>
      <c r="E121" s="61"/>
      <c r="F121" s="40"/>
      <c r="G121" s="51"/>
    </row>
    <row r="122" spans="1:7" x14ac:dyDescent="0.2">
      <c r="A122" s="40"/>
      <c r="B122" s="40"/>
      <c r="C122" s="41"/>
      <c r="D122" s="41"/>
      <c r="E122" s="61"/>
      <c r="F122" s="40"/>
      <c r="G122" s="51"/>
    </row>
    <row r="123" spans="1:7" x14ac:dyDescent="0.2">
      <c r="A123" s="40"/>
      <c r="B123" s="40"/>
      <c r="C123" s="41"/>
      <c r="D123" s="41"/>
      <c r="E123" s="61"/>
      <c r="F123" s="40"/>
      <c r="G123" s="51"/>
    </row>
    <row r="124" spans="1:7" x14ac:dyDescent="0.2">
      <c r="A124" s="40"/>
      <c r="B124" s="40"/>
      <c r="C124" s="41"/>
      <c r="D124" s="41"/>
      <c r="E124" s="61"/>
      <c r="F124" s="40"/>
      <c r="G124" s="51"/>
    </row>
    <row r="125" spans="1:7" x14ac:dyDescent="0.2">
      <c r="A125" s="40"/>
      <c r="B125" s="40"/>
      <c r="C125" s="41"/>
      <c r="D125" s="41"/>
      <c r="E125" s="61"/>
      <c r="F125" s="40"/>
      <c r="G125" s="51"/>
    </row>
    <row r="126" spans="1:7" x14ac:dyDescent="0.2">
      <c r="A126" s="40"/>
      <c r="B126" s="40"/>
      <c r="C126" s="41"/>
      <c r="D126" s="41"/>
      <c r="E126" s="61"/>
      <c r="F126" s="40"/>
      <c r="G126" s="51"/>
    </row>
    <row r="127" spans="1:7" x14ac:dyDescent="0.2">
      <c r="A127" s="40"/>
      <c r="B127" s="40"/>
      <c r="C127" s="41"/>
      <c r="D127" s="41"/>
      <c r="E127" s="61"/>
      <c r="F127" s="40"/>
      <c r="G127" s="51"/>
    </row>
    <row r="129" spans="1:7" x14ac:dyDescent="0.2">
      <c r="A129" s="34"/>
      <c r="B129" s="34"/>
      <c r="C129" s="34"/>
      <c r="D129" s="34"/>
      <c r="E129" s="49"/>
      <c r="F129" s="66"/>
      <c r="G129" s="69"/>
    </row>
    <row r="130" spans="1:7" x14ac:dyDescent="0.2">
      <c r="A130" s="35"/>
      <c r="B130" s="35"/>
      <c r="C130" s="62"/>
      <c r="D130" s="35"/>
      <c r="E130" s="35"/>
      <c r="F130" s="35"/>
      <c r="G130" s="70"/>
    </row>
    <row r="131" spans="1:7" x14ac:dyDescent="0.2">
      <c r="A131" s="40"/>
      <c r="B131" s="40"/>
      <c r="C131" s="41"/>
      <c r="D131" s="41"/>
      <c r="E131" s="61"/>
      <c r="F131" s="40"/>
      <c r="G131" s="51"/>
    </row>
    <row r="132" spans="1:7" x14ac:dyDescent="0.2">
      <c r="A132" s="40"/>
      <c r="B132" s="40"/>
      <c r="C132" s="41"/>
      <c r="D132" s="41"/>
      <c r="E132" s="61"/>
      <c r="F132" s="40"/>
      <c r="G132" s="51"/>
    </row>
    <row r="149" spans="1:7" x14ac:dyDescent="0.2">
      <c r="A149" s="34"/>
      <c r="B149" s="34"/>
      <c r="C149" s="34"/>
      <c r="D149" s="34"/>
      <c r="E149" s="49"/>
      <c r="F149" s="66"/>
      <c r="G149" s="69"/>
    </row>
    <row r="150" spans="1:7" x14ac:dyDescent="0.2">
      <c r="A150" s="35"/>
      <c r="B150" s="35"/>
      <c r="C150" s="62"/>
      <c r="D150" s="35"/>
      <c r="E150" s="35"/>
      <c r="F150" s="35"/>
      <c r="G150" s="70"/>
    </row>
    <row r="151" spans="1:7" x14ac:dyDescent="0.2">
      <c r="A151" s="3"/>
      <c r="B151" s="3"/>
      <c r="C151" s="2"/>
      <c r="D151" s="2"/>
    </row>
    <row r="152" spans="1:7" x14ac:dyDescent="0.2">
      <c r="A152" s="3"/>
      <c r="B152" s="3"/>
      <c r="C152" s="2"/>
      <c r="D152" s="2"/>
    </row>
    <row r="153" spans="1:7" x14ac:dyDescent="0.2">
      <c r="A153" s="3"/>
      <c r="B153" s="3"/>
      <c r="C153" s="2"/>
      <c r="D153" s="2"/>
    </row>
    <row r="154" spans="1:7" x14ac:dyDescent="0.2">
      <c r="A154" s="3"/>
      <c r="B154" s="3"/>
      <c r="C154" s="2"/>
      <c r="D154" s="2"/>
    </row>
    <row r="155" spans="1:7" x14ac:dyDescent="0.2">
      <c r="A155" s="3"/>
      <c r="B155" s="3"/>
      <c r="C155" s="2"/>
      <c r="D155" s="2"/>
    </row>
    <row r="156" spans="1:7" x14ac:dyDescent="0.2">
      <c r="A156" s="3"/>
      <c r="B156" s="3"/>
      <c r="C156" s="2"/>
      <c r="D156" s="2"/>
    </row>
    <row r="158" spans="1:7" x14ac:dyDescent="0.2">
      <c r="A158" s="34"/>
      <c r="B158" s="34"/>
      <c r="C158" s="34"/>
      <c r="D158" s="34"/>
      <c r="E158" s="49"/>
      <c r="F158" s="66"/>
      <c r="G158" s="69"/>
    </row>
    <row r="159" spans="1:7" x14ac:dyDescent="0.2">
      <c r="A159" s="35"/>
      <c r="B159" s="35"/>
      <c r="C159" s="62"/>
      <c r="D159" s="35"/>
      <c r="E159" s="35"/>
      <c r="F159" s="35"/>
      <c r="G159" s="70"/>
    </row>
    <row r="160" spans="1:7" x14ac:dyDescent="0.2">
      <c r="A160" s="3"/>
      <c r="B160" s="3"/>
      <c r="C160" s="2"/>
      <c r="D160" s="2"/>
    </row>
    <row r="161" spans="1:7" x14ac:dyDescent="0.2">
      <c r="A161" s="3"/>
      <c r="B161" s="3"/>
      <c r="C161" s="2"/>
      <c r="D161" s="2"/>
    </row>
    <row r="162" spans="1:7" x14ac:dyDescent="0.2">
      <c r="A162" s="3"/>
      <c r="B162" s="3"/>
      <c r="C162" s="2"/>
      <c r="D162" s="2"/>
    </row>
    <row r="163" spans="1:7" x14ac:dyDescent="0.2">
      <c r="A163" s="3"/>
      <c r="B163" s="3"/>
      <c r="C163" s="2"/>
      <c r="D163" s="2"/>
    </row>
    <row r="164" spans="1:7" x14ac:dyDescent="0.2">
      <c r="A164" s="3"/>
      <c r="B164" s="3"/>
      <c r="C164" s="2"/>
      <c r="D164" s="2"/>
    </row>
    <row r="165" spans="1:7" x14ac:dyDescent="0.2">
      <c r="A165" s="3"/>
      <c r="B165" s="3"/>
      <c r="C165" s="2"/>
      <c r="D165" s="2"/>
    </row>
    <row r="167" spans="1:7" x14ac:dyDescent="0.2">
      <c r="A167" s="34"/>
      <c r="B167" s="34"/>
      <c r="C167" s="34"/>
      <c r="D167" s="34"/>
      <c r="E167" s="49"/>
      <c r="F167" s="66"/>
      <c r="G167" s="69"/>
    </row>
    <row r="168" spans="1:7" x14ac:dyDescent="0.2">
      <c r="A168" s="35"/>
      <c r="B168" s="35"/>
      <c r="C168" s="62"/>
      <c r="D168" s="35"/>
      <c r="E168" s="35"/>
      <c r="F168" s="35"/>
      <c r="G168" s="70"/>
    </row>
    <row r="169" spans="1:7" x14ac:dyDescent="0.2">
      <c r="A169" s="3"/>
      <c r="B169" s="3"/>
      <c r="C169" s="2"/>
      <c r="D169" s="2"/>
    </row>
    <row r="170" spans="1:7" x14ac:dyDescent="0.2">
      <c r="A170" s="3"/>
      <c r="B170" s="3"/>
      <c r="C170" s="2"/>
      <c r="D170" s="2"/>
    </row>
    <row r="171" spans="1:7" x14ac:dyDescent="0.2">
      <c r="A171" s="3"/>
      <c r="B171" s="3"/>
      <c r="C171" s="2"/>
      <c r="D171" s="2"/>
    </row>
    <row r="172" spans="1:7" x14ac:dyDescent="0.2">
      <c r="A172" s="3"/>
      <c r="B172" s="3"/>
      <c r="C172" s="2"/>
      <c r="D172" s="2"/>
    </row>
    <row r="173" spans="1:7" x14ac:dyDescent="0.2">
      <c r="A173" s="3"/>
      <c r="B173" s="3"/>
      <c r="C173" s="2"/>
      <c r="D173" s="2"/>
    </row>
    <row r="174" spans="1:7" s="58" customFormat="1" x14ac:dyDescent="0.2">
      <c r="A174" s="3"/>
      <c r="B174" s="3"/>
      <c r="C174" s="2"/>
      <c r="D174" s="2"/>
      <c r="F174" s="3"/>
      <c r="G174" s="5"/>
    </row>
    <row r="175" spans="1:7" s="58" customFormat="1" x14ac:dyDescent="0.2">
      <c r="A175" s="3"/>
      <c r="B175" s="3"/>
      <c r="C175" s="2"/>
      <c r="D175" s="2"/>
      <c r="F175" s="3"/>
      <c r="G175" s="5"/>
    </row>
    <row r="176" spans="1:7" s="58" customFormat="1" x14ac:dyDescent="0.2">
      <c r="A176" s="3"/>
      <c r="B176" s="3"/>
      <c r="C176" s="2"/>
      <c r="D176" s="2"/>
      <c r="F176" s="3"/>
      <c r="G176" s="5"/>
    </row>
    <row r="177" spans="1:4" x14ac:dyDescent="0.2">
      <c r="A177" s="3"/>
      <c r="B177" s="3"/>
      <c r="C177" s="2"/>
      <c r="D177" s="2"/>
    </row>
  </sheetData>
  <mergeCells count="4">
    <mergeCell ref="A1:G3"/>
    <mergeCell ref="C6:E6"/>
    <mergeCell ref="C11:E11"/>
    <mergeCell ref="C10:E10"/>
  </mergeCells>
  <printOptions horizontalCentered="1"/>
  <pageMargins left="0" right="0" top="0.74803149606299213" bottom="0.74803149606299213" header="0.31496062992125984" footer="0.31496062992125984"/>
  <pageSetup paperSize="9" scale="75" orientation="portrait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e44cf-5804-494b-8066-fdf99a24faa0" xsi:nil="true"/>
    <lcf76f155ced4ddcb4097134ff3c332f xmlns="a58592d7-dbb3-4bd3-a899-edd3912a3fbf">
      <Terms xmlns="http://schemas.microsoft.com/office/infopath/2007/PartnerControls"/>
    </lcf76f155ced4ddcb4097134ff3c332f>
    <_Flow_SignoffStatus xmlns="a58592d7-dbb3-4bd3-a899-edd3912a3fbf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D626402AF95449F119F5910CE496D" ma:contentTypeVersion="14" ma:contentTypeDescription="Een nieuw document maken." ma:contentTypeScope="" ma:versionID="1c88696dae9aaa6e2baa672e97b9bc27">
  <xsd:schema xmlns:xsd="http://www.w3.org/2001/XMLSchema" xmlns:xs="http://www.w3.org/2001/XMLSchema" xmlns:p="http://schemas.microsoft.com/office/2006/metadata/properties" xmlns:ns2="a58592d7-dbb3-4bd3-a899-edd3912a3fbf" xmlns:ns3="290e44cf-5804-494b-8066-fdf99a24faa0" targetNamespace="http://schemas.microsoft.com/office/2006/metadata/properties" ma:root="true" ma:fieldsID="7e7cdda0acd4a3660151b063d153485d" ns2:_="" ns3:_="">
    <xsd:import namespace="a58592d7-dbb3-4bd3-a899-edd3912a3fbf"/>
    <xsd:import namespace="290e44cf-5804-494b-8066-fdf99a24fa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592d7-dbb3-4bd3-a899-edd3912a3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d38a1d2b-2115-4d82-bc98-ebb85e6266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e44cf-5804-494b-8066-fdf99a24faa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b823030-3bb5-4829-b76a-59028b008c13}" ma:internalName="TaxCatchAll" ma:showField="CatchAllData" ma:web="290e44cf-5804-494b-8066-fdf99a24f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6E900-D09A-4C35-934C-CE0AD05DFF2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290e44cf-5804-494b-8066-fdf99a24faa0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58592d7-dbb3-4bd3-a899-edd3912a3fb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21D6BE-9CFC-43C9-A5B1-9B6E80D5057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350B33F-5DFF-44C4-80EE-F6BDAF620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592d7-dbb3-4bd3-a899-edd3912a3fbf"/>
    <ds:schemaRef ds:uri="290e44cf-5804-494b-8066-fdf99a24f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020512-6ADD-4F00-8327-8334AE17C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14</vt:i4>
      </vt:variant>
      <vt:variant>
        <vt:lpstr>Benoemde bereiken</vt:lpstr>
      </vt:variant>
      <vt:variant>
        <vt:i4>14</vt:i4>
      </vt:variant>
    </vt:vector>
  </HeadingPairs>
  <TitlesOfParts>
    <vt:vector size="28" baseType="lpstr">
      <vt:lpstr>Olien </vt:lpstr>
      <vt:lpstr>Food Olien</vt:lpstr>
      <vt:lpstr>Additieven</vt:lpstr>
      <vt:lpstr>Vetten</vt:lpstr>
      <vt:lpstr>Food Vetten</vt:lpstr>
      <vt:lpstr>Montagepasta's</vt:lpstr>
      <vt:lpstr>Reinigers</vt:lpstr>
      <vt:lpstr>Wax &amp; coatings</vt:lpstr>
      <vt:lpstr>Automatic lubrication</vt:lpstr>
      <vt:lpstr>Diversen</vt:lpstr>
      <vt:lpstr>ILM</vt:lpstr>
      <vt:lpstr>Interflon hardware</vt:lpstr>
      <vt:lpstr>Hulpmaterialen</vt:lpstr>
      <vt:lpstr>Hulpmaterialen onderdelen</vt:lpstr>
      <vt:lpstr>Additieven!Afdrukbereik</vt:lpstr>
      <vt:lpstr>'Automatic lubrication'!Afdrukbereik</vt:lpstr>
      <vt:lpstr>Diversen!Afdrukbereik</vt:lpstr>
      <vt:lpstr>'Food Olien'!Afdrukbereik</vt:lpstr>
      <vt:lpstr>'Food Vetten'!Afdrukbereik</vt:lpstr>
      <vt:lpstr>Hulpmaterialen!Afdrukbereik</vt:lpstr>
      <vt:lpstr>'Hulpmaterialen onderdelen'!Afdrukbereik</vt:lpstr>
      <vt:lpstr>ILM!Afdrukbereik</vt:lpstr>
      <vt:lpstr>'Interflon hardware'!Afdrukbereik</vt:lpstr>
      <vt:lpstr>'Montagepasta''s'!Afdrukbereik</vt:lpstr>
      <vt:lpstr>'Olien '!Afdrukbereik</vt:lpstr>
      <vt:lpstr>Reinigers!Afdrukbereik</vt:lpstr>
      <vt:lpstr>Vetten!Afdrukbereik</vt:lpstr>
      <vt:lpstr>'Wax &amp; coatings'!Afdrukbereik</vt:lpstr>
    </vt:vector>
  </TitlesOfParts>
  <Manager/>
  <Company>Interflon België NV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Wim Peckstadt</dc:creator>
  <cp:keywords/>
  <dc:description/>
  <cp:lastModifiedBy>An D’haen</cp:lastModifiedBy>
  <cp:revision/>
  <cp:lastPrinted>2025-03-31T12:24:46Z</cp:lastPrinted>
  <dcterms:created xsi:type="dcterms:W3CDTF">2000-02-20T13:54:13Z</dcterms:created>
  <dcterms:modified xsi:type="dcterms:W3CDTF">2026-09-15T14:04:31Z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200.000000000000</vt:lpwstr>
  </property>
  <property fmtid="{D5CDD505-2E9C-101B-9397-08002B2CF9AE}" pid="3" name="ContentTypeId">
    <vt:lpwstr>0x010100171D626402AF95449F119F5910CE496D</vt:lpwstr>
  </property>
  <property fmtid="{D5CDD505-2E9C-101B-9397-08002B2CF9AE}" pid="4" name="MediaServiceImageTags">
    <vt:lpwstr/>
  </property>
</Properties>
</file>